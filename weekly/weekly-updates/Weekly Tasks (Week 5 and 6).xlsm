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eek 6" sheetId="1" r:id="rId5"/>
    <sheet state="visible" name="Week 5" sheetId="2" r:id="rId6"/>
    <sheet state="visible" name="Week 4" sheetId="3" r:id="rId7"/>
    <sheet state="visible" name="Week 3" sheetId="4" r:id="rId8"/>
    <sheet state="visible" name="Week 2" sheetId="5" r:id="rId9"/>
    <sheet state="visible" name="Week 1" sheetId="6" r:id="rId10"/>
  </sheets>
  <definedNames>
    <definedName localSheetId="0" name="First_Day">'Week 6'!$C$3</definedName>
    <definedName localSheetId="3" name="First_Day">'Week 3'!$C$3</definedName>
    <definedName localSheetId="4" name="First_Day">'Week 2'!$C$3</definedName>
    <definedName localSheetId="1" name="First_Day">'Week 5'!$C$3</definedName>
    <definedName name="First_Day">'Week 1'!$C$3</definedName>
    <definedName localSheetId="2" name="First_Day">'Week 4'!$C$3</definedName>
  </definedNames>
  <calcPr/>
  <extLst>
    <ext uri="GoogleSheetsCustomDataVersion1">
      <go:sheetsCustomData xmlns:go="http://customooxmlschemas.google.com/" r:id="rId11" roundtripDataSignature="AMtx7miHdf0LrppkJXyxqHfoc9Jh46UAOQ=="/>
    </ext>
  </extLst>
</workbook>
</file>

<file path=xl/sharedStrings.xml><?xml version="1.0" encoding="utf-8"?>
<sst xmlns="http://schemas.openxmlformats.org/spreadsheetml/2006/main" count="251" uniqueCount="84">
  <si>
    <t>Weekly Tasks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</si>
  <si>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</si>
  <si>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Publish dashboard</t>
  </si>
  <si>
    <t>All</t>
  </si>
  <si>
    <t>Create weekly presentation</t>
  </si>
  <si>
    <t>Report writing - Intro</t>
  </si>
  <si>
    <t xml:space="preserve">Luka </t>
  </si>
  <si>
    <t>Report writing - Background</t>
  </si>
  <si>
    <t>Rain</t>
  </si>
  <si>
    <t>Report writing - Methodologies - Weight Index</t>
  </si>
  <si>
    <t>Yuxuan</t>
  </si>
  <si>
    <t>Report writing - Methodologies - Dashboard</t>
  </si>
  <si>
    <t>Graham</t>
  </si>
  <si>
    <t>Report writing - Methodologies - Scores Sets &amp; Computation</t>
  </si>
  <si>
    <t>Dashboard astectics</t>
  </si>
  <si>
    <r>
      <rPr>
        <color rgb="FF262626"/>
        <sz val="10.0"/>
      </rPr>
      <t xml:space="preserve">Incorporate weekday and weekend maps into one </t>
    </r>
    <r>
      <rPr>
        <color rgb="FF1155CC"/>
        <sz val="10.0"/>
        <u/>
      </rPr>
      <t>Kepler.gl</t>
    </r>
    <r>
      <rPr>
        <color rgb="FF262626"/>
        <sz val="10.0"/>
      </rPr>
      <t xml:space="preserve"> map</t>
    </r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</si>
  <si>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Code Cleanup and Dashboard Performance</t>
    </r>
  </si>
  <si>
    <t>Embed HTML Kepler visualization in R</t>
  </si>
  <si>
    <t>Rain, Graham</t>
  </si>
  <si>
    <r>
      <rPr>
        <color rgb="FF262626"/>
        <sz val="10.0"/>
      </rPr>
      <t xml:space="preserve">Create </t>
    </r>
    <r>
      <rPr>
        <color rgb="FF1155CC"/>
        <sz val="10.0"/>
        <u/>
      </rPr>
      <t>kepler.gl</t>
    </r>
    <r>
      <rPr>
        <color rgb="FF262626"/>
        <sz val="10.0"/>
      </rPr>
      <t xml:space="preserve"> map with time windows</t>
    </r>
  </si>
  <si>
    <t>Create isochrone maps in leaflet</t>
  </si>
  <si>
    <t>Update main score scripts / clean project files</t>
  </si>
  <si>
    <t>Luka</t>
  </si>
  <si>
    <t>Implement html map calling in R shiny</t>
  </si>
  <si>
    <t>Graham, Luka</t>
  </si>
  <si>
    <t>Merge code for travel time matrix to map rendering</t>
  </si>
  <si>
    <t>Created functions for filling NA values for missing blocks and corresponding scores or isochrones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</si>
  <si>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</si>
  <si>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Determine prefered language for dashboard --&gt; R</t>
  </si>
  <si>
    <t>Create outline for dahsboard in shiny</t>
  </si>
  <si>
    <t>Report writing - Methodologies - Score Index</t>
  </si>
  <si>
    <t>Report writing - Methodologies - Visualization + algorithm comparison</t>
  </si>
  <si>
    <t>Report writing - Intro, Background</t>
  </si>
  <si>
    <t>Feature engineering for amenity accessibility (combining Google API features)</t>
  </si>
  <si>
    <t>Create Score set for transit efficiency (using population in conjuction to access)</t>
  </si>
  <si>
    <t>Incorporate library capacity into the weight of the scores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</si>
  <si>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</si>
  <si>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Sketch our dashboard outline</t>
  </si>
  <si>
    <t>First Dashboard build with plotly (R or Python?)</t>
  </si>
  <si>
    <t>Interactive plotly visualization of accessibility scores</t>
  </si>
  <si>
    <t>Using Urban Access + Pandana for Time computation (a second methodology for benchmarking r5r)</t>
  </si>
  <si>
    <t>Using Urban Access + Pandana for visualization</t>
  </si>
  <si>
    <t>Add weight factor for different categories (libraries)</t>
  </si>
  <si>
    <t xml:space="preserve">Developed museum weight index </t>
  </si>
  <si>
    <r>
      <rPr>
        <color rgb="FF1155CC"/>
        <sz val="10.0"/>
        <u/>
      </rPr>
      <t>Keplr.gl</t>
    </r>
    <r>
      <rPr>
        <color rgb="FF262626"/>
        <sz val="10.0"/>
      </rPr>
      <t xml:space="preserve"> in local dash file (deck.gl)</t>
    </r>
  </si>
  <si>
    <t>R top down network visualization</t>
  </si>
  <si>
    <t>Develop multiple sets of scores to incorporate Joseph's "nearest amenity type" feedback</t>
  </si>
  <si>
    <t xml:space="preserve">Luka + Anyone </t>
  </si>
  <si>
    <t>Document all models for score computation</t>
  </si>
  <si>
    <t>Presentation Slides</t>
  </si>
  <si>
    <t>Client meeting and feedback</t>
  </si>
  <si>
    <t>Develop the amenity popuarity weight index using Yuxuan's API data on Google reviews</t>
  </si>
  <si>
    <t>Visualize new score models (to be done on a local Keplr instance and ggplot)</t>
  </si>
  <si>
    <t>Visualizng Transit efficiency by integrating DB populations (not a priority until dashboard and concensus scoring models are build</t>
  </si>
  <si>
    <t>Facebook, Twitter API for popularity weights (not a priority if using nearest amenity score model)</t>
  </si>
  <si>
    <t xml:space="preserve">Yuxuan </t>
  </si>
  <si>
    <t>Get more data for popularity weights for example, opertation hours, opening days</t>
  </si>
  <si>
    <t xml:space="preserve"> </t>
  </si>
  <si>
    <t>Task</t>
  </si>
  <si>
    <t>Who</t>
  </si>
  <si>
    <t>Done</t>
  </si>
  <si>
    <t>R5</t>
  </si>
  <si>
    <t>Determine prefered software</t>
  </si>
  <si>
    <t>Discuss mathematical 
model for score assignment</t>
  </si>
  <si>
    <t>Construct webscraper to get popularity / 
capacity / review data for cultural 
sites (Yelp, TripAdvisor, Google revs)</t>
  </si>
  <si>
    <t>Yuxuan
&amp; Rain</t>
  </si>
  <si>
    <t>Clean previous data files</t>
  </si>
  <si>
    <t>Anyone</t>
  </si>
  <si>
    <t>Dashboard outline</t>
  </si>
  <si>
    <t>Yuxuan
&amp; Graham</t>
  </si>
  <si>
    <t>Kepler - Research</t>
  </si>
  <si>
    <t>UrbanAccess + Pandana</t>
  </si>
  <si>
    <t>Develop script to integrate 
mathematical model to time matrix</t>
  </si>
  <si>
    <t>Get times matrix</t>
  </si>
  <si>
    <t>Develop code into script</t>
  </si>
  <si>
    <t>Compare Efficiency models</t>
  </si>
  <si>
    <t>Group meeting</t>
  </si>
  <si>
    <t>Draft Proposal + Statement of work</t>
  </si>
  <si>
    <t>City Selection</t>
  </si>
  <si>
    <t>Cultural Point of Interest Counts</t>
  </si>
  <si>
    <t>Raw Data Collection</t>
  </si>
  <si>
    <t>Data Cleaning / Filtering</t>
  </si>
  <si>
    <t>Graham 
+ Rain</t>
  </si>
  <si>
    <t>Integrate Van-OSM data and 
GTFS data and test OTP trip planning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</si>
</sst>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Done&quot;;&quot; &quot;;&quot; &quot;"/>
  </numFmts>
  <fonts count="22">
    <font>
      <sz val="11.0"/>
      <color theme="1"/>
      <name val="Arial"/>
    </font>
    <font>
      <b/>
      <sz val="11.0"/>
      <color rgb="FF262626"/>
      <name val="Trebuchet MS"/>
    </font>
    <font>
      <sz val="10.0"/>
      <color rgb="FF385623"/>
      <name val="Trebuchet MS"/>
    </font>
    <font>
      <sz val="10.0"/>
      <color rgb="FF262626"/>
      <name val="Trebuchet MS"/>
    </font>
    <font>
      <b/>
      <sz val="14.0"/>
      <color rgb="FF262626"/>
      <name val="Trebuchet MS"/>
    </font>
    <font>
      <b/>
      <sz val="18.0"/>
      <color rgb="FF262626"/>
      <name val="Trebuchet MS"/>
    </font>
    <font>
      <b/>
      <sz val="14.0"/>
      <color theme="0"/>
      <name val="Corbel"/>
    </font>
    <font/>
    <font>
      <b/>
      <sz val="10.0"/>
      <color rgb="FF262626"/>
      <name val="Trebuchet MS"/>
    </font>
    <font>
      <sz val="10.0"/>
      <color theme="1"/>
      <name val="Trebuchet MS"/>
    </font>
    <font>
      <sz val="10.0"/>
      <color rgb="FF262626"/>
    </font>
    <font>
      <u/>
      <sz val="10.0"/>
      <color rgb="FF262626"/>
    </font>
    <font>
      <sz val="10.0"/>
      <name val="Trebuchet MS"/>
    </font>
    <font>
      <sz val="10.0"/>
      <color rgb="FFFF0000"/>
      <name val="Trebuchet MS"/>
    </font>
    <font>
      <sz val="10.0"/>
      <color rgb="FF385623"/>
    </font>
    <font>
      <sz val="10.0"/>
      <color rgb="FFFF0000"/>
    </font>
    <font>
      <b/>
      <sz val="12.0"/>
      <color rgb="FF262626"/>
      <name val="Trebuchet MS"/>
    </font>
    <font>
      <sz val="12.0"/>
      <color rgb="FF262626"/>
      <name val="Trebuchet MS"/>
    </font>
    <font>
      <sz val="12.0"/>
      <color rgb="FF385623"/>
      <name val="Trebuchet MS"/>
    </font>
    <font>
      <sz val="11.0"/>
      <color theme="1"/>
      <name val="Trebuchet MS"/>
    </font>
    <font>
      <sz val="11.0"/>
      <color rgb="FF262626"/>
      <name val="Trebuchet MS"/>
    </font>
    <font>
      <b/>
      <i/>
      <sz val="10.0"/>
      <color rgb="FF262626"/>
    </font>
  </fonts>
  <fills count="8">
    <fill>
      <patternFill patternType="none"/>
    </fill>
    <fill>
      <patternFill patternType="lightGray"/>
    </fill>
    <fill>
      <patternFill patternType="solid">
        <fgColor rgb="FFA8D08D"/>
        <bgColor rgb="FFA8D08D"/>
      </patternFill>
    </fill>
    <fill>
      <patternFill patternType="solid">
        <fgColor rgb="FF548135"/>
        <bgColor rgb="FF548135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32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</border>
    <border>
      <left style="dotted">
        <color rgb="FF000000"/>
      </left>
    </border>
    <border>
      <right style="dotted">
        <color rgb="FF000000"/>
      </right>
    </border>
    <border>
      <right style="thick">
        <color rgb="FF000000"/>
      </right>
    </border>
    <border>
      <left style="thin">
        <color theme="0"/>
      </left>
      <top style="thin">
        <color theme="0"/>
      </top>
      <bottom style="thin">
        <color theme="0"/>
      </bottom>
    </border>
    <border>
      <right style="thick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top style="thin">
        <color theme="0"/>
      </top>
    </border>
    <border>
      <right style="thick">
        <color theme="0"/>
      </right>
      <top style="thin">
        <color theme="0"/>
      </top>
    </border>
    <border>
      <right style="thin">
        <color rgb="FF5B9BD5"/>
      </right>
    </border>
    <border>
      <top style="thin">
        <color theme="0"/>
      </top>
      <bottom style="thin">
        <color theme="0"/>
      </bottom>
    </border>
    <border>
      <right style="thin">
        <color rgb="FF000000"/>
      </right>
      <top style="thin">
        <color theme="0"/>
      </top>
      <bottom style="thin">
        <color theme="0"/>
      </bottom>
    </border>
    <border>
      <bottom style="thin">
        <color rgb="FF5B9BD5"/>
      </bottom>
    </border>
    <border>
      <right style="thin">
        <color rgb="FF5B9BD5"/>
      </right>
      <bottom style="thin">
        <color rgb="FF5B9BD5"/>
      </bottom>
    </border>
    <border>
      <left/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theme="0"/>
      </right>
      <bottom style="thin">
        <color rgb="FF000000"/>
      </bottom>
    </border>
    <border>
      <left style="thin">
        <color theme="0"/>
      </left>
      <right style="thin">
        <color rgb="FF000000"/>
      </right>
      <bottom style="thin">
        <color rgb="FF000000"/>
      </bottom>
    </border>
    <border>
      <right style="thin">
        <color theme="0"/>
      </right>
      <top style="thin">
        <color theme="0"/>
      </top>
      <bottom style="thin">
        <color rgb="FF000000"/>
      </bottom>
    </border>
    <border>
      <left style="thin">
        <color theme="0"/>
      </left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rgb="FF000000"/>
      </right>
    </border>
    <border>
      <right style="thin">
        <color rgb="FF5B9BD5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5B9BD5"/>
      </right>
    </border>
    <border>
      <right style="thin">
        <color rgb="FF000000"/>
      </right>
      <bottom style="thin">
        <color rgb="FF000000"/>
      </bottom>
    </border>
    <border>
      <right style="thin">
        <color rgb="FF5B9BD5"/>
      </right>
      <bottom style="thin">
        <color rgb="FF000000"/>
      </bottom>
    </border>
    <border>
      <right style="thin">
        <color rgb="FF000000"/>
      </right>
      <bottom style="thin">
        <color rgb="FF5B9BD5"/>
      </bottom>
    </border>
  </borders>
  <cellStyleXfs count="1">
    <xf borderId="0" fillId="0" fontId="0" numFmtId="0" applyAlignment="1" applyFont="1"/>
  </cellStyleXfs>
  <cellXfs count="102">
    <xf borderId="0" fillId="0" fontId="0" numFmtId="0" xfId="0" applyAlignment="1" applyFont="1">
      <alignment readingOrder="0" shrinkToFit="0" vertical="bottom" wrapText="0"/>
    </xf>
    <xf borderId="0" fillId="0" fontId="1" numFmtId="14" xfId="0" applyAlignment="1" applyFont="1" applyNumberFormat="1">
      <alignment horizontal="center" vertical="center"/>
    </xf>
    <xf borderId="0" fillId="0" fontId="2" numFmtId="0" xfId="0" applyAlignment="1" applyFont="1">
      <alignment horizontal="left"/>
    </xf>
    <xf borderId="0" fillId="0" fontId="3" numFmtId="0" xfId="0" applyAlignment="1" applyFont="1">
      <alignment horizontal="left"/>
    </xf>
    <xf borderId="0" fillId="0" fontId="3" numFmtId="0" xfId="0" applyFont="1"/>
    <xf borderId="0" fillId="0" fontId="4" numFmtId="0" xfId="0" applyAlignment="1" applyFont="1">
      <alignment horizontal="left" readingOrder="0" vertical="center"/>
    </xf>
    <xf borderId="1" fillId="2" fontId="5" numFmtId="0" xfId="0" applyAlignment="1" applyBorder="1" applyFill="1" applyFont="1">
      <alignment horizontal="left" readingOrder="0" vertical="center"/>
    </xf>
    <xf borderId="2" fillId="3" fontId="6" numFmtId="0" xfId="0" applyAlignment="1" applyBorder="1" applyFill="1" applyFont="1">
      <alignment horizontal="center" vertical="center"/>
    </xf>
    <xf borderId="2" fillId="0" fontId="7" numFmtId="0" xfId="0" applyBorder="1" applyFont="1"/>
    <xf borderId="3" fillId="0" fontId="7" numFmtId="0" xfId="0" applyBorder="1" applyFont="1"/>
    <xf borderId="0" fillId="0" fontId="8" numFmtId="0" xfId="0" applyAlignment="1" applyFont="1">
      <alignment vertical="center"/>
    </xf>
    <xf borderId="0" fillId="0" fontId="8" numFmtId="0" xfId="0" applyAlignment="1" applyFont="1">
      <alignment horizontal="left" readingOrder="0" vertical="center"/>
    </xf>
    <xf borderId="4" fillId="2" fontId="8" numFmtId="0" xfId="0" applyAlignment="1" applyBorder="1" applyFont="1">
      <alignment horizontal="left" readingOrder="0" vertical="center"/>
    </xf>
    <xf borderId="5" fillId="2" fontId="1" numFmtId="14" xfId="0" applyAlignment="1" applyBorder="1" applyFont="1" applyNumberFormat="1">
      <alignment horizontal="center" vertical="center"/>
    </xf>
    <xf borderId="5" fillId="0" fontId="7" numFmtId="0" xfId="0" applyBorder="1" applyFont="1"/>
    <xf borderId="6" fillId="0" fontId="7" numFmtId="0" xfId="0" applyBorder="1" applyFont="1"/>
    <xf borderId="0" fillId="4" fontId="3" numFmtId="0" xfId="0" applyAlignment="1" applyFill="1" applyFont="1">
      <alignment horizontal="left" readingOrder="0" shrinkToFit="0" vertical="center" wrapText="1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readingOrder="0" vertical="center"/>
    </xf>
    <xf borderId="0" fillId="0" fontId="2" numFmtId="164" xfId="0" applyAlignment="1" applyFont="1" applyNumberFormat="1">
      <alignment horizontal="center" vertical="center"/>
    </xf>
    <xf borderId="8" fillId="0" fontId="9" numFmtId="0" xfId="0" applyAlignment="1" applyBorder="1" applyFont="1">
      <alignment horizontal="center" readingOrder="0" shrinkToFit="0" vertical="center" wrapText="1"/>
    </xf>
    <xf borderId="9" fillId="0" fontId="2" numFmtId="0" xfId="0" applyAlignment="1" applyBorder="1" applyFont="1">
      <alignment horizontal="center" readingOrder="0" shrinkToFit="0" vertical="center" wrapText="1"/>
    </xf>
    <xf borderId="8" fillId="0" fontId="3" numFmtId="0" xfId="0" applyAlignment="1" applyBorder="1" applyFont="1">
      <alignment horizontal="center" readingOrder="0" shrinkToFit="0" vertical="center" wrapText="1"/>
    </xf>
    <xf borderId="8" fillId="0" fontId="9" numFmtId="0" xfId="0" applyAlignment="1" applyBorder="1" applyFont="1">
      <alignment horizontal="center" shrinkToFit="0" vertical="center" wrapText="1"/>
    </xf>
    <xf borderId="9" fillId="0" fontId="9" numFmtId="164" xfId="0" applyAlignment="1" applyBorder="1" applyFont="1" applyNumberFormat="1">
      <alignment horizontal="center" shrinkToFit="0" vertical="center" wrapText="1"/>
    </xf>
    <xf borderId="8" fillId="0" fontId="3" numFmtId="0" xfId="0" applyAlignment="1" applyBorder="1" applyFont="1">
      <alignment horizontal="center" shrinkToFit="0" vertical="center" wrapText="1"/>
    </xf>
    <xf borderId="10" fillId="0" fontId="2" numFmtId="164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left" vertical="center"/>
    </xf>
    <xf borderId="9" fillId="0" fontId="2" numFmtId="164" xfId="0" applyAlignment="1" applyBorder="1" applyFont="1" applyNumberFormat="1">
      <alignment horizontal="center" shrinkToFit="0" vertical="center" wrapText="1"/>
    </xf>
    <xf borderId="8" fillId="0" fontId="10" numFmtId="0" xfId="0" applyAlignment="1" applyBorder="1" applyFont="1">
      <alignment horizontal="center" readingOrder="0" shrinkToFit="0" vertical="center" wrapText="1"/>
    </xf>
    <xf borderId="7" fillId="0" fontId="10" numFmtId="0" xfId="0" applyAlignment="1" applyBorder="1" applyFont="1">
      <alignment horizontal="left" readingOrder="0" shrinkToFit="0" vertical="center" wrapText="1"/>
    </xf>
    <xf borderId="0" fillId="4" fontId="3" numFmtId="0" xfId="0" applyAlignment="1" applyFont="1">
      <alignment horizontal="left" readingOrder="0" shrinkToFit="0" vertical="center" wrapText="1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vertical="center"/>
    </xf>
    <xf borderId="7" fillId="0" fontId="11" numFmtId="0" xfId="0" applyAlignment="1" applyBorder="1" applyFont="1">
      <alignment horizontal="left" readingOrder="0" shrinkToFit="0" vertical="center" wrapText="1"/>
    </xf>
    <xf borderId="8" fillId="0" fontId="12" numFmtId="0" xfId="0" applyAlignment="1" applyBorder="1" applyFont="1">
      <alignment horizontal="center" readingOrder="0" shrinkToFit="0" vertical="center" wrapText="1"/>
    </xf>
    <xf borderId="0" fillId="0" fontId="9" numFmtId="164" xfId="0" applyAlignment="1" applyFont="1" applyNumberFormat="1">
      <alignment horizontal="center" shrinkToFit="0" vertical="center" wrapText="1"/>
    </xf>
    <xf borderId="0" fillId="0" fontId="2" numFmtId="164" xfId="0" applyAlignment="1" applyFont="1" applyNumberFormat="1">
      <alignment horizontal="center" shrinkToFit="0" vertical="center" wrapText="1"/>
    </xf>
    <xf borderId="0" fillId="4" fontId="3" numFmtId="0" xfId="0" applyAlignment="1" applyFont="1">
      <alignment horizontal="left" shrinkToFit="0" vertical="center" wrapText="1"/>
    </xf>
    <xf borderId="0" fillId="4" fontId="3" numFmtId="0" xfId="0" applyAlignment="1" applyFont="1">
      <alignment horizontal="center" vertical="center"/>
    </xf>
    <xf borderId="0" fillId="4" fontId="2" numFmtId="164" xfId="0" applyAlignment="1" applyFont="1" applyNumberFormat="1">
      <alignment horizontal="center" vertical="center"/>
    </xf>
    <xf borderId="0" fillId="4" fontId="13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9" fillId="0" fontId="14" numFmtId="0" xfId="0" applyAlignment="1" applyBorder="1" applyFont="1">
      <alignment horizontal="center" readingOrder="0" shrinkToFit="0" vertical="center" wrapText="1"/>
    </xf>
    <xf borderId="7" fillId="0" fontId="10" numFmtId="0" xfId="0" applyAlignment="1" applyBorder="1" applyFont="1">
      <alignment horizontal="left" readingOrder="0" shrinkToFit="0" vertical="center" wrapText="1"/>
    </xf>
    <xf borderId="9" fillId="0" fontId="14" numFmtId="164" xfId="0" applyAlignment="1" applyBorder="1" applyFont="1" applyNumberFormat="1">
      <alignment horizontal="center" shrinkToFit="0" vertical="center" wrapText="1"/>
    </xf>
    <xf borderId="5" fillId="2" fontId="1" numFmtId="14" xfId="0" applyAlignment="1" applyBorder="1" applyFont="1" applyNumberFormat="1">
      <alignment horizontal="center" readingOrder="0" vertical="center"/>
    </xf>
    <xf borderId="7" fillId="5" fontId="3" numFmtId="0" xfId="0" applyAlignment="1" applyBorder="1" applyFill="1" applyFont="1">
      <alignment horizontal="left" readingOrder="0" shrinkToFit="0" vertical="center" wrapText="1"/>
    </xf>
    <xf borderId="8" fillId="5" fontId="3" numFmtId="0" xfId="0" applyAlignment="1" applyBorder="1" applyFont="1">
      <alignment horizontal="center" readingOrder="0" shrinkToFit="0" vertical="center" wrapText="1"/>
    </xf>
    <xf borderId="9" fillId="5" fontId="2" numFmtId="0" xfId="0" applyAlignment="1" applyBorder="1" applyFont="1">
      <alignment horizontal="center" readingOrder="0" shrinkToFit="0" vertical="center" wrapText="1"/>
    </xf>
    <xf borderId="8" fillId="5" fontId="9" numFmtId="0" xfId="0" applyAlignment="1" applyBorder="1" applyFont="1">
      <alignment horizontal="center" readingOrder="0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9" fillId="0" fontId="3" numFmtId="0" xfId="0" applyAlignment="1" applyBorder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0" fillId="4" fontId="15" numFmtId="0" xfId="0" applyAlignment="1" applyFont="1">
      <alignment horizontal="center" readingOrder="0" vertical="center"/>
    </xf>
    <xf borderId="0" fillId="4" fontId="10" numFmtId="0" xfId="0" applyAlignment="1" applyFont="1">
      <alignment horizontal="left" readingOrder="0" shrinkToFit="0" vertical="center" wrapText="1"/>
    </xf>
    <xf borderId="11" fillId="2" fontId="1" numFmtId="14" xfId="0" applyAlignment="1" applyBorder="1" applyFont="1" applyNumberFormat="1">
      <alignment horizontal="center" vertical="center"/>
    </xf>
    <xf borderId="12" fillId="0" fontId="7" numFmtId="0" xfId="0" applyBorder="1" applyFont="1"/>
    <xf borderId="13" fillId="2" fontId="1" numFmtId="14" xfId="0" applyAlignment="1" applyBorder="1" applyFont="1" applyNumberFormat="1">
      <alignment horizontal="center" vertical="center"/>
    </xf>
    <xf borderId="14" fillId="0" fontId="7" numFmtId="0" xfId="0" applyBorder="1" applyFont="1"/>
    <xf borderId="0" fillId="0" fontId="8" numFmtId="0" xfId="0" applyAlignment="1" applyFont="1">
      <alignment horizontal="left" vertical="center"/>
    </xf>
    <xf borderId="0" fillId="3" fontId="6" numFmtId="0" xfId="0" applyAlignment="1" applyFont="1">
      <alignment horizontal="center" vertical="center"/>
    </xf>
    <xf borderId="15" fillId="0" fontId="7" numFmtId="0" xfId="0" applyBorder="1" applyFont="1"/>
    <xf borderId="16" fillId="3" fontId="6" numFmtId="0" xfId="0" applyAlignment="1" applyBorder="1" applyFont="1">
      <alignment horizontal="center" vertical="center"/>
    </xf>
    <xf borderId="17" fillId="0" fontId="7" numFmtId="0" xfId="0" applyBorder="1" applyFont="1"/>
    <xf borderId="18" fillId="2" fontId="1" numFmtId="14" xfId="0" applyAlignment="1" applyBorder="1" applyFont="1" applyNumberFormat="1">
      <alignment horizontal="center" readingOrder="0" vertical="center"/>
    </xf>
    <xf borderId="19" fillId="0" fontId="7" numFmtId="0" xfId="0" applyBorder="1" applyFont="1"/>
    <xf borderId="18" fillId="2" fontId="1" numFmtId="14" xfId="0" applyAlignment="1" applyBorder="1" applyFont="1" applyNumberFormat="1">
      <alignment horizontal="center" vertical="center"/>
    </xf>
    <xf borderId="16" fillId="2" fontId="1" numFmtId="14" xfId="0" applyAlignment="1" applyBorder="1" applyFont="1" applyNumberFormat="1">
      <alignment horizontal="center" vertical="center"/>
    </xf>
    <xf borderId="20" fillId="2" fontId="16" numFmtId="0" xfId="0" applyAlignment="1" applyBorder="1" applyFont="1">
      <alignment horizontal="left" vertical="center"/>
    </xf>
    <xf borderId="21" fillId="2" fontId="17" numFmtId="0" xfId="0" applyAlignment="1" applyBorder="1" applyFont="1">
      <alignment horizontal="center" vertical="center"/>
    </xf>
    <xf borderId="22" fillId="2" fontId="18" numFmtId="0" xfId="0" applyAlignment="1" applyBorder="1" applyFont="1">
      <alignment horizontal="center" vertical="center"/>
    </xf>
    <xf borderId="23" fillId="2" fontId="17" numFmtId="0" xfId="0" applyAlignment="1" applyBorder="1" applyFont="1">
      <alignment horizontal="center" vertical="center"/>
    </xf>
    <xf borderId="24" fillId="2" fontId="18" numFmtId="0" xfId="0" applyAlignment="1" applyBorder="1" applyFont="1">
      <alignment horizontal="center" vertical="center"/>
    </xf>
    <xf borderId="25" fillId="0" fontId="3" numFmtId="0" xfId="0" applyAlignment="1" applyBorder="1" applyFont="1">
      <alignment horizontal="left" readingOrder="0" vertical="center"/>
    </xf>
    <xf borderId="15" fillId="0" fontId="3" numFmtId="0" xfId="0" applyAlignment="1" applyBorder="1" applyFont="1">
      <alignment horizontal="center" readingOrder="0" vertical="center"/>
    </xf>
    <xf borderId="25" fillId="0" fontId="2" numFmtId="164" xfId="0" applyAlignment="1" applyBorder="1" applyFont="1" applyNumberFormat="1">
      <alignment horizontal="center" vertical="center"/>
    </xf>
    <xf borderId="26" fillId="6" fontId="19" numFmtId="0" xfId="0" applyBorder="1" applyFill="1" applyFont="1"/>
    <xf borderId="27" fillId="6" fontId="19" numFmtId="164" xfId="0" applyBorder="1" applyFont="1" applyNumberFormat="1"/>
    <xf borderId="15" fillId="0" fontId="3" numFmtId="0" xfId="0" applyAlignment="1" applyBorder="1" applyFont="1">
      <alignment horizontal="center" vertical="center"/>
    </xf>
    <xf borderId="25" fillId="7" fontId="19" numFmtId="164" xfId="0" applyBorder="1" applyFill="1" applyFont="1" applyNumberFormat="1"/>
    <xf borderId="15" fillId="7" fontId="19" numFmtId="0" xfId="0" applyBorder="1" applyFont="1"/>
    <xf borderId="28" fillId="6" fontId="19" numFmtId="0" xfId="0" applyBorder="1" applyFont="1"/>
    <xf borderId="25" fillId="6" fontId="19" numFmtId="164" xfId="0" applyBorder="1" applyFont="1" applyNumberFormat="1"/>
    <xf borderId="15" fillId="6" fontId="19" numFmtId="0" xfId="0" applyBorder="1" applyFont="1"/>
    <xf borderId="28" fillId="7" fontId="19" numFmtId="0" xfId="0" applyBorder="1" applyFont="1"/>
    <xf borderId="15" fillId="7" fontId="19" numFmtId="0" xfId="0" applyBorder="1" applyFont="1"/>
    <xf borderId="15" fillId="0" fontId="20" numFmtId="0" xfId="0" applyAlignment="1" applyBorder="1" applyFont="1">
      <alignment horizontal="center" readingOrder="0" vertical="center"/>
    </xf>
    <xf borderId="28" fillId="6" fontId="19" numFmtId="0" xfId="0" applyBorder="1" applyFont="1"/>
    <xf borderId="15" fillId="6" fontId="19" numFmtId="0" xfId="0" applyBorder="1" applyFont="1"/>
    <xf borderId="25" fillId="0" fontId="3" numFmtId="0" xfId="0" applyAlignment="1" applyBorder="1" applyFont="1">
      <alignment horizontal="left" vertical="center"/>
    </xf>
    <xf borderId="29" fillId="0" fontId="3" numFmtId="0" xfId="0" applyAlignment="1" applyBorder="1" applyFont="1">
      <alignment horizontal="left" vertical="center"/>
    </xf>
    <xf borderId="30" fillId="0" fontId="3" numFmtId="0" xfId="0" applyAlignment="1" applyBorder="1" applyFont="1">
      <alignment horizontal="center" vertical="center"/>
    </xf>
    <xf borderId="29" fillId="0" fontId="2" numFmtId="164" xfId="0" applyAlignment="1" applyBorder="1" applyFont="1" applyNumberFormat="1">
      <alignment horizontal="center" vertical="center"/>
    </xf>
    <xf borderId="0" fillId="0" fontId="21" numFmtId="0" xfId="0" applyAlignment="1" applyFont="1">
      <alignment horizontal="left" readingOrder="0" shrinkToFit="0" vertical="center" wrapText="1"/>
    </xf>
    <xf borderId="25" fillId="0" fontId="7" numFmtId="0" xfId="0" applyBorder="1" applyFont="1"/>
    <xf borderId="31" fillId="0" fontId="7" numFmtId="0" xfId="0" applyBorder="1" applyFont="1"/>
    <xf borderId="18" fillId="0" fontId="7" numFmtId="0" xfId="0" applyBorder="1" applyFon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6">
    <tableStyle count="2" pivot="0" name="Week 6-style">
      <tableStyleElement dxfId="1" type="firstRowStripe"/>
      <tableStyleElement dxfId="2" type="secondRowStripe"/>
    </tableStyle>
    <tableStyle count="2" pivot="0" name="Week 5-style">
      <tableStyleElement dxfId="1" type="firstRowStripe"/>
      <tableStyleElement dxfId="2" type="secondRowStripe"/>
    </tableStyle>
    <tableStyle count="2" pivot="0" name="Week 4-style">
      <tableStyleElement dxfId="1" type="firstRowStripe"/>
      <tableStyleElement dxfId="2" type="secondRowStripe"/>
    </tableStyle>
    <tableStyle count="2" pivot="0" name="Week 3-style">
      <tableStyleElement dxfId="1" type="firstRowStripe"/>
      <tableStyleElement dxfId="2" type="secondRowStripe"/>
    </tableStyle>
    <tableStyle count="2" pivot="0" name="Week 2-style">
      <tableStyleElement dxfId="1" type="firstRowStripe"/>
      <tableStyleElement dxfId="2" type="secondRowStripe"/>
    </tableStyle>
    <tableStyle count="2" pivot="0" name="Week 1-style">
      <tableStyleElement dxfId="1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6584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3536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headerRowCount="0" ref="A4:P24" displayName="Table_1" id="1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6-style" showColumnStripes="0" showFirstColumn="1" showLastColumn="1" showRowStripes="1"/>
</table>
</file>

<file path=xl/tables/table2.xml><?xml version="1.0" encoding="utf-8"?>
<table xmlns="http://schemas.openxmlformats.org/spreadsheetml/2006/main" headerRowCount="0" ref="A4:P16" displayName="Table_2" id="2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5-style" showColumnStripes="0" showFirstColumn="1" showLastColumn="1" showRowStripes="1"/>
</table>
</file>

<file path=xl/tables/table3.xml><?xml version="1.0" encoding="utf-8"?>
<table xmlns="http://schemas.openxmlformats.org/spreadsheetml/2006/main" headerRowCount="0" ref="A4:P25" displayName="Table_3" id="3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4-style" showColumnStripes="0" showFirstColumn="1" showLastColumn="1" showRowStripes="1"/>
</table>
</file>

<file path=xl/tables/table4.xml><?xml version="1.0" encoding="utf-8"?>
<table xmlns="http://schemas.openxmlformats.org/spreadsheetml/2006/main" headerRowCount="0" ref="A4:P25" displayName="Table_4" id="4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3-style" showColumnStripes="0" showFirstColumn="1" showLastColumn="1" showRowStripes="1"/>
</table>
</file>

<file path=xl/tables/table5.xml><?xml version="1.0" encoding="utf-8"?>
<table xmlns="http://schemas.openxmlformats.org/spreadsheetml/2006/main" headerRowCount="0" ref="B5:P21" displayName="Table_5" id="5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2-style" showColumnStripes="0" showFirstColumn="1" showLastColumn="1" showRowStripes="1"/>
</table>
</file>

<file path=xl/tables/table6.xml><?xml version="1.0" encoding="utf-8"?>
<table xmlns="http://schemas.openxmlformats.org/spreadsheetml/2006/main" headerRowCount="0" ref="B5:P20" displayName="Table_6" id="6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rebuchet MS"/>
        <a:ea typeface="Trebuchet MS"/>
        <a:cs typeface="Trebuchet MS"/>
      </a:majorFont>
      <a:minorFont>
        <a:latin typeface="Trebuchet MS"/>
        <a:ea typeface="Trebuchet MS"/>
        <a:cs typeface="Trebuchet M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://kepler.gl/" TargetMode="External"/><Relationship Id="rId2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kepler.gl/" TargetMode="External"/><Relationship Id="rId2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://keplr.gl/" TargetMode="External"/><Relationship Id="rId2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</v>
      </c>
      <c r="C3" s="13">
        <f>TODAY()-WEEKDAY(TODAY(),1)+8</f>
        <v>44360</v>
      </c>
      <c r="D3" s="14"/>
      <c r="E3" s="13">
        <f>TODAY()-WEEKDAY(TODAY(),1)+2</f>
        <v>44354</v>
      </c>
      <c r="F3" s="14"/>
      <c r="G3" s="13">
        <f>E3+1</f>
        <v>44355</v>
      </c>
      <c r="H3" s="14"/>
      <c r="I3" s="13">
        <f>E3+2</f>
        <v>44356</v>
      </c>
      <c r="J3" s="14"/>
      <c r="K3" s="13">
        <f>E3+3</f>
        <v>44357</v>
      </c>
      <c r="L3" s="14"/>
      <c r="M3" s="13">
        <f>E3+4</f>
        <v>44358</v>
      </c>
      <c r="N3" s="14"/>
      <c r="O3" s="13">
        <f>E3+5</f>
        <v>44359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2</v>
      </c>
      <c r="C4" s="18"/>
      <c r="D4" s="19"/>
      <c r="E4" s="20" t="s">
        <v>3</v>
      </c>
      <c r="F4" s="21" t="b">
        <v>0</v>
      </c>
      <c r="G4" s="22"/>
      <c r="H4" s="21"/>
      <c r="I4" s="22"/>
      <c r="J4" s="21"/>
      <c r="K4" s="23"/>
      <c r="L4" s="24"/>
      <c r="M4" s="23"/>
      <c r="N4" s="24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4</v>
      </c>
      <c r="C5" s="18"/>
      <c r="D5" s="19"/>
      <c r="E5" s="20" t="s">
        <v>3</v>
      </c>
      <c r="F5" s="21" t="b">
        <v>1</v>
      </c>
      <c r="G5" s="23"/>
      <c r="H5" s="24"/>
      <c r="I5" s="25"/>
      <c r="J5" s="24"/>
      <c r="K5" s="22"/>
      <c r="L5" s="24"/>
      <c r="M5" s="22"/>
      <c r="N5" s="28"/>
      <c r="O5" s="25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16"/>
      <c r="B6" s="17" t="s">
        <v>5</v>
      </c>
      <c r="C6" s="18"/>
      <c r="D6" s="19"/>
      <c r="E6" s="20" t="s">
        <v>6</v>
      </c>
      <c r="F6" s="21" t="b">
        <v>0</v>
      </c>
      <c r="G6" s="20" t="s">
        <v>6</v>
      </c>
      <c r="H6" s="21" t="b">
        <v>0</v>
      </c>
      <c r="I6" s="20" t="s">
        <v>6</v>
      </c>
      <c r="J6" s="21" t="b">
        <v>0</v>
      </c>
      <c r="K6" s="20" t="s">
        <v>6</v>
      </c>
      <c r="L6" s="21" t="b">
        <v>0</v>
      </c>
      <c r="M6" s="20" t="s">
        <v>6</v>
      </c>
      <c r="N6" s="21" t="b">
        <v>0</v>
      </c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16"/>
      <c r="B7" s="17" t="s">
        <v>7</v>
      </c>
      <c r="C7" s="18"/>
      <c r="D7" s="19"/>
      <c r="E7" s="20" t="s">
        <v>8</v>
      </c>
      <c r="F7" s="21" t="b">
        <v>0</v>
      </c>
      <c r="G7" s="20" t="s">
        <v>8</v>
      </c>
      <c r="H7" s="21" t="b">
        <v>0</v>
      </c>
      <c r="I7" s="20" t="s">
        <v>8</v>
      </c>
      <c r="J7" s="21" t="b">
        <v>0</v>
      </c>
      <c r="K7" s="20" t="s">
        <v>8</v>
      </c>
      <c r="L7" s="21" t="b">
        <v>0</v>
      </c>
      <c r="M7" s="20" t="s">
        <v>8</v>
      </c>
      <c r="N7" s="21" t="b">
        <v>0</v>
      </c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16"/>
      <c r="B8" s="17" t="s">
        <v>9</v>
      </c>
      <c r="C8" s="18"/>
      <c r="D8" s="19"/>
      <c r="E8" s="29" t="s">
        <v>10</v>
      </c>
      <c r="F8" s="21" t="b">
        <v>0</v>
      </c>
      <c r="G8" s="22" t="s">
        <v>10</v>
      </c>
      <c r="H8" s="21" t="b">
        <v>0</v>
      </c>
      <c r="I8" s="22" t="s">
        <v>10</v>
      </c>
      <c r="J8" s="21" t="b">
        <v>0</v>
      </c>
      <c r="K8" s="22" t="s">
        <v>10</v>
      </c>
      <c r="L8" s="21" t="b">
        <v>0</v>
      </c>
      <c r="M8" s="22" t="s">
        <v>10</v>
      </c>
      <c r="N8" s="21" t="b">
        <v>0</v>
      </c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16"/>
      <c r="B9" s="17" t="s">
        <v>11</v>
      </c>
      <c r="C9" s="18"/>
      <c r="D9" s="19"/>
      <c r="E9" s="20" t="s">
        <v>12</v>
      </c>
      <c r="F9" s="21" t="b">
        <v>0</v>
      </c>
      <c r="G9" s="20" t="s">
        <v>12</v>
      </c>
      <c r="H9" s="21" t="b">
        <v>0</v>
      </c>
      <c r="I9" s="20" t="s">
        <v>12</v>
      </c>
      <c r="J9" s="21" t="b">
        <v>0</v>
      </c>
      <c r="K9" s="20" t="s">
        <v>12</v>
      </c>
      <c r="L9" s="21" t="b">
        <v>0</v>
      </c>
      <c r="M9" s="20" t="s">
        <v>12</v>
      </c>
      <c r="N9" s="21" t="b">
        <v>0</v>
      </c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1.5" customHeight="1">
      <c r="A10" s="16"/>
      <c r="B10" s="30" t="s">
        <v>13</v>
      </c>
      <c r="C10" s="18"/>
      <c r="D10" s="19"/>
      <c r="E10" s="20" t="s">
        <v>6</v>
      </c>
      <c r="F10" s="21" t="b">
        <v>0</v>
      </c>
      <c r="G10" s="20" t="s">
        <v>6</v>
      </c>
      <c r="H10" s="21" t="b">
        <v>0</v>
      </c>
      <c r="I10" s="20" t="s">
        <v>6</v>
      </c>
      <c r="J10" s="21" t="b">
        <v>0</v>
      </c>
      <c r="K10" s="20" t="s">
        <v>6</v>
      </c>
      <c r="L10" s="21" t="b">
        <v>0</v>
      </c>
      <c r="M10" s="20" t="s">
        <v>6</v>
      </c>
      <c r="N10" s="21" t="b">
        <v>0</v>
      </c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31"/>
      <c r="B11" s="32" t="s">
        <v>14</v>
      </c>
      <c r="C11" s="33"/>
      <c r="D11" s="19"/>
      <c r="E11" s="20" t="s">
        <v>12</v>
      </c>
      <c r="F11" s="21" t="b">
        <v>0</v>
      </c>
      <c r="G11" s="23"/>
      <c r="H11" s="24"/>
      <c r="I11" s="25"/>
      <c r="J11" s="24"/>
      <c r="K11" s="22"/>
      <c r="L11" s="24"/>
      <c r="M11" s="22"/>
      <c r="N11" s="28"/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16"/>
      <c r="B12" s="34" t="s">
        <v>15</v>
      </c>
      <c r="C12" s="33"/>
      <c r="D12" s="19"/>
      <c r="E12" s="20"/>
      <c r="F12" s="24"/>
      <c r="G12" s="35" t="s">
        <v>8</v>
      </c>
      <c r="H12" s="21" t="b">
        <v>0</v>
      </c>
      <c r="I12" s="35" t="s">
        <v>8</v>
      </c>
      <c r="J12" s="21" t="b">
        <v>0</v>
      </c>
      <c r="K12" s="22"/>
      <c r="L12" s="28"/>
      <c r="M12" s="22"/>
      <c r="N12" s="28"/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31"/>
      <c r="B13" s="32"/>
      <c r="C13" s="33"/>
      <c r="D13" s="19"/>
      <c r="E13" s="20"/>
      <c r="F13" s="21"/>
      <c r="G13" s="23"/>
      <c r="H13" s="24"/>
      <c r="I13" s="25"/>
      <c r="J13" s="24"/>
      <c r="K13" s="22"/>
      <c r="L13" s="24"/>
      <c r="M13" s="22"/>
      <c r="N13" s="28"/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/>
      <c r="C14" s="33"/>
      <c r="D14" s="19"/>
      <c r="E14" s="20"/>
      <c r="F14" s="21"/>
      <c r="G14" s="23"/>
      <c r="H14" s="24"/>
      <c r="I14" s="23"/>
      <c r="J14" s="24"/>
      <c r="K14" s="22"/>
      <c r="L14" s="28"/>
      <c r="M14" s="22"/>
      <c r="N14" s="28"/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1"/>
      <c r="B15" s="32"/>
      <c r="C15" s="33"/>
      <c r="D15" s="19"/>
      <c r="E15" s="20"/>
      <c r="F15" s="21"/>
      <c r="G15" s="23"/>
      <c r="H15" s="24"/>
      <c r="I15" s="25"/>
      <c r="J15" s="24"/>
      <c r="K15" s="22"/>
      <c r="L15" s="24"/>
      <c r="M15" s="22"/>
      <c r="N15" s="28"/>
      <c r="O15" s="25"/>
      <c r="P15" s="26"/>
      <c r="Q15" s="27"/>
      <c r="R15" s="27"/>
      <c r="S15" s="27"/>
      <c r="T15" s="27"/>
      <c r="U15" s="27"/>
      <c r="V15" s="27"/>
      <c r="W15" s="27"/>
      <c r="X15" s="27"/>
      <c r="Y15" s="27"/>
    </row>
    <row r="16" ht="31.5" customHeight="1">
      <c r="A16" s="31"/>
      <c r="B16" s="32"/>
      <c r="C16" s="33"/>
      <c r="D16" s="19"/>
      <c r="E16" s="25"/>
      <c r="F16" s="28"/>
      <c r="G16" s="22"/>
      <c r="H16" s="21"/>
      <c r="I16" s="22"/>
      <c r="J16" s="21"/>
      <c r="K16" s="22"/>
      <c r="L16" s="28"/>
      <c r="M16" s="22"/>
      <c r="N16" s="28"/>
      <c r="O16" s="25"/>
      <c r="P16" s="26"/>
      <c r="Q16" s="27"/>
      <c r="R16" s="27"/>
      <c r="S16" s="27"/>
      <c r="T16" s="27"/>
      <c r="U16" s="27"/>
      <c r="V16" s="27"/>
      <c r="W16" s="27"/>
      <c r="X16" s="27"/>
      <c r="Y16" s="27"/>
    </row>
    <row r="17" ht="31.5" customHeight="1">
      <c r="A17" s="31"/>
      <c r="B17" s="32"/>
      <c r="C17" s="33"/>
      <c r="D17" s="19"/>
      <c r="E17" s="22"/>
      <c r="F17" s="28"/>
      <c r="G17" s="22"/>
      <c r="H17" s="28"/>
      <c r="I17" s="22"/>
      <c r="J17" s="28"/>
      <c r="K17" s="22"/>
      <c r="L17" s="21"/>
      <c r="M17" s="22"/>
      <c r="N17" s="21"/>
      <c r="O17" s="25"/>
      <c r="P17" s="26"/>
      <c r="Q17" s="27"/>
      <c r="R17" s="27"/>
      <c r="S17" s="27"/>
      <c r="T17" s="27"/>
      <c r="U17" s="27"/>
      <c r="V17" s="27"/>
      <c r="W17" s="27"/>
      <c r="X17" s="27"/>
      <c r="Y17" s="27"/>
    </row>
    <row r="18" ht="37.5" customHeight="1">
      <c r="A18" s="31"/>
      <c r="B18" s="32"/>
      <c r="C18" s="33"/>
      <c r="D18" s="19"/>
      <c r="E18" s="25"/>
      <c r="F18" s="28"/>
      <c r="G18" s="25"/>
      <c r="H18" s="28"/>
      <c r="I18" s="25"/>
      <c r="J18" s="28"/>
      <c r="K18" s="22"/>
      <c r="L18" s="21"/>
      <c r="M18" s="22"/>
      <c r="N18" s="28"/>
      <c r="O18" s="25"/>
      <c r="P18" s="26"/>
      <c r="Q18" s="27"/>
      <c r="R18" s="27"/>
      <c r="S18" s="27"/>
      <c r="T18" s="27"/>
      <c r="U18" s="27"/>
      <c r="V18" s="27"/>
      <c r="W18" s="27"/>
      <c r="X18" s="27"/>
      <c r="Y18" s="27"/>
    </row>
    <row r="19" ht="31.5" customHeight="1">
      <c r="A19" s="31"/>
      <c r="B19" s="32"/>
      <c r="C19" s="33"/>
      <c r="D19" s="19"/>
      <c r="E19" s="20"/>
      <c r="F19" s="24"/>
      <c r="G19" s="20"/>
      <c r="H19" s="24"/>
      <c r="I19" s="22"/>
      <c r="J19" s="21"/>
      <c r="K19" s="20"/>
      <c r="L19" s="21"/>
      <c r="M19" s="20"/>
      <c r="N19" s="21"/>
      <c r="O19" s="25"/>
      <c r="P19" s="26"/>
      <c r="Q19" s="27"/>
      <c r="R19" s="27"/>
      <c r="S19" s="27"/>
      <c r="T19" s="27"/>
      <c r="U19" s="27"/>
      <c r="V19" s="27"/>
      <c r="W19" s="27"/>
      <c r="X19" s="27"/>
      <c r="Y19" s="27"/>
    </row>
    <row r="20" ht="31.5" customHeight="1">
      <c r="A20" s="31"/>
      <c r="B20" s="32"/>
      <c r="C20" s="33"/>
      <c r="D20" s="19"/>
      <c r="E20" s="20"/>
      <c r="F20" s="24"/>
      <c r="G20" s="20"/>
      <c r="H20" s="24"/>
      <c r="I20" s="22"/>
      <c r="J20" s="21"/>
      <c r="K20" s="22"/>
      <c r="L20" s="21"/>
      <c r="M20" s="22"/>
      <c r="N20" s="21"/>
      <c r="O20" s="25"/>
      <c r="P20" s="26"/>
      <c r="Q20" s="27"/>
      <c r="R20" s="27"/>
      <c r="S20" s="27"/>
      <c r="T20" s="27"/>
      <c r="U20" s="27"/>
      <c r="V20" s="27"/>
      <c r="W20" s="27"/>
      <c r="X20" s="27"/>
      <c r="Y20" s="27"/>
    </row>
    <row r="21" ht="31.5" customHeight="1">
      <c r="A21" s="31"/>
      <c r="B21" s="32"/>
      <c r="C21" s="33"/>
      <c r="D21" s="19"/>
      <c r="E21" s="20"/>
      <c r="F21" s="24"/>
      <c r="G21" s="20"/>
      <c r="H21" s="24"/>
      <c r="I21" s="22"/>
      <c r="J21" s="28"/>
      <c r="K21" s="22"/>
      <c r="L21" s="28"/>
      <c r="M21" s="22"/>
      <c r="N21" s="28"/>
      <c r="O21" s="25"/>
      <c r="P21" s="26"/>
      <c r="Q21" s="27"/>
      <c r="R21" s="27"/>
      <c r="S21" s="27"/>
      <c r="T21" s="27"/>
      <c r="U21" s="27"/>
      <c r="V21" s="27"/>
      <c r="W21" s="27"/>
      <c r="X21" s="27"/>
      <c r="Y21" s="27"/>
    </row>
    <row r="22" ht="31.5" customHeight="1">
      <c r="A22" s="31"/>
      <c r="B22" s="32"/>
      <c r="C22" s="33"/>
      <c r="D22" s="19"/>
      <c r="E22" s="20"/>
      <c r="F22" s="36"/>
      <c r="G22" s="20"/>
      <c r="H22" s="24"/>
      <c r="I22" s="22"/>
      <c r="J22" s="37"/>
      <c r="K22" s="22"/>
      <c r="L22" s="28"/>
      <c r="M22" s="22"/>
      <c r="N22" s="37"/>
      <c r="O22" s="25"/>
      <c r="P22" s="26"/>
      <c r="Q22" s="27"/>
      <c r="R22" s="27"/>
      <c r="S22" s="27"/>
      <c r="T22" s="27"/>
      <c r="U22" s="27"/>
      <c r="V22" s="27"/>
      <c r="W22" s="27"/>
      <c r="X22" s="27"/>
      <c r="Y22" s="27"/>
    </row>
    <row r="23" ht="31.5" customHeight="1">
      <c r="A23" s="38"/>
      <c r="B23" s="38"/>
      <c r="C23" s="39"/>
      <c r="D23" s="40"/>
      <c r="E23" s="39"/>
      <c r="F23" s="40"/>
      <c r="G23" s="39"/>
      <c r="H23" s="40"/>
      <c r="I23" s="39"/>
      <c r="J23" s="40"/>
      <c r="K23" s="39"/>
      <c r="L23" s="40"/>
      <c r="M23" s="41"/>
      <c r="N23" s="40"/>
      <c r="O23" s="39"/>
      <c r="P23" s="40"/>
      <c r="Q23" s="27"/>
      <c r="R23" s="27"/>
      <c r="S23" s="27"/>
      <c r="T23" s="27"/>
      <c r="U23" s="27"/>
      <c r="V23" s="27"/>
      <c r="W23" s="27"/>
      <c r="X23" s="27"/>
      <c r="Y23" s="27"/>
    </row>
    <row r="24" ht="40.5" customHeight="1">
      <c r="A24" s="38"/>
      <c r="B24" s="38"/>
      <c r="C24" s="39"/>
      <c r="D24" s="40"/>
      <c r="E24" s="39"/>
      <c r="F24" s="40"/>
      <c r="G24" s="39"/>
      <c r="H24" s="40"/>
      <c r="I24" s="39"/>
      <c r="J24" s="40"/>
      <c r="K24" s="39"/>
      <c r="L24" s="40"/>
      <c r="M24" s="39"/>
      <c r="N24" s="40"/>
      <c r="O24" s="39"/>
      <c r="P24" s="40"/>
      <c r="Q24" s="27"/>
      <c r="R24" s="27"/>
      <c r="S24" s="27"/>
      <c r="T24" s="27"/>
      <c r="U24" s="27"/>
      <c r="V24" s="27"/>
      <c r="W24" s="27"/>
      <c r="X24" s="27"/>
      <c r="Y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31.5" customHeight="1">
      <c r="A32" s="44"/>
      <c r="B32" s="44"/>
      <c r="C32" s="45"/>
      <c r="D32" s="46"/>
      <c r="E32" s="45"/>
      <c r="F32" s="46"/>
      <c r="G32" s="45"/>
      <c r="H32" s="46"/>
      <c r="I32" s="45"/>
      <c r="J32" s="46"/>
      <c r="K32" s="45"/>
      <c r="L32" s="46"/>
      <c r="M32" s="45"/>
      <c r="N32" s="46"/>
      <c r="O32" s="45"/>
      <c r="P32" s="46"/>
      <c r="Q32" s="27"/>
      <c r="R32" s="27"/>
      <c r="S32" s="27"/>
      <c r="T32" s="27"/>
      <c r="U32" s="27"/>
      <c r="V32" s="27"/>
      <c r="W32" s="27"/>
      <c r="X32" s="27"/>
      <c r="Y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</row>
    <row r="1001" ht="21.0" customHeight="1">
      <c r="A1001" s="27"/>
      <c r="B1001" s="27"/>
      <c r="C1001" s="27"/>
      <c r="D1001" s="42"/>
      <c r="E1001" s="27"/>
      <c r="F1001" s="43"/>
      <c r="G1001" s="27"/>
      <c r="H1001" s="43"/>
      <c r="I1001" s="27"/>
      <c r="J1001" s="43"/>
      <c r="K1001" s="27"/>
      <c r="L1001" s="43"/>
      <c r="M1001" s="27"/>
      <c r="N1001" s="43"/>
      <c r="O1001" s="27"/>
      <c r="P1001" s="43"/>
      <c r="Q1001" s="27"/>
      <c r="R1001" s="27"/>
      <c r="S1001" s="27"/>
      <c r="T1001" s="27"/>
      <c r="U1001" s="27"/>
      <c r="V1001" s="27"/>
      <c r="W1001" s="27"/>
      <c r="X1001" s="27"/>
      <c r="Y1001" s="27"/>
    </row>
    <row r="1002" ht="21.0" customHeight="1">
      <c r="A1002" s="27"/>
      <c r="B1002" s="27"/>
      <c r="C1002" s="27"/>
      <c r="D1002" s="42"/>
      <c r="E1002" s="27"/>
      <c r="F1002" s="43"/>
      <c r="G1002" s="27"/>
      <c r="H1002" s="43"/>
      <c r="I1002" s="27"/>
      <c r="J1002" s="43"/>
      <c r="K1002" s="27"/>
      <c r="L1002" s="43"/>
      <c r="M1002" s="27"/>
      <c r="N1002" s="43"/>
      <c r="O1002" s="27"/>
      <c r="P1002" s="43"/>
      <c r="Q1002" s="27"/>
      <c r="R1002" s="27"/>
      <c r="S1002" s="27"/>
      <c r="T1002" s="27"/>
      <c r="U1002" s="27"/>
      <c r="V1002" s="27"/>
      <c r="W1002" s="27"/>
      <c r="X1002" s="27"/>
      <c r="Y1002" s="27"/>
    </row>
    <row r="1003" ht="21.0" customHeight="1">
      <c r="A1003" s="27"/>
      <c r="B1003" s="27"/>
      <c r="C1003" s="27"/>
      <c r="D1003" s="42"/>
      <c r="E1003" s="27"/>
      <c r="F1003" s="43"/>
      <c r="G1003" s="27"/>
      <c r="H1003" s="43"/>
      <c r="I1003" s="27"/>
      <c r="J1003" s="43"/>
      <c r="K1003" s="27"/>
      <c r="L1003" s="43"/>
      <c r="M1003" s="27"/>
      <c r="N1003" s="43"/>
      <c r="O1003" s="27"/>
      <c r="P1003" s="43"/>
      <c r="Q1003" s="27"/>
      <c r="R1003" s="27"/>
      <c r="S1003" s="27"/>
      <c r="T1003" s="27"/>
      <c r="U1003" s="27"/>
      <c r="V1003" s="27"/>
      <c r="W1003" s="27"/>
      <c r="X1003" s="27"/>
      <c r="Y1003" s="27"/>
    </row>
    <row r="1004" ht="21.0" customHeight="1">
      <c r="A1004" s="27"/>
      <c r="B1004" s="27"/>
      <c r="C1004" s="27"/>
      <c r="D1004" s="42"/>
      <c r="E1004" s="27"/>
      <c r="F1004" s="43"/>
      <c r="G1004" s="27"/>
      <c r="H1004" s="43"/>
      <c r="I1004" s="27"/>
      <c r="J1004" s="43"/>
      <c r="K1004" s="27"/>
      <c r="L1004" s="43"/>
      <c r="M1004" s="27"/>
      <c r="N1004" s="43"/>
      <c r="O1004" s="27"/>
      <c r="P1004" s="43"/>
      <c r="Q1004" s="27"/>
      <c r="R1004" s="27"/>
      <c r="S1004" s="27"/>
      <c r="T1004" s="27"/>
      <c r="U1004" s="27"/>
      <c r="V1004" s="27"/>
      <c r="W1004" s="27"/>
      <c r="X1004" s="27"/>
      <c r="Y1004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12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16</v>
      </c>
      <c r="C3" s="13">
        <f>TODAY()-WEEKDAY(TODAY(),1)+8</f>
        <v>44360</v>
      </c>
      <c r="D3" s="14"/>
      <c r="E3" s="13">
        <f>TODAY()-WEEKDAY(TODAY(),1)-5</f>
        <v>44347</v>
      </c>
      <c r="F3" s="14"/>
      <c r="G3" s="13">
        <f>E3+1</f>
        <v>44348</v>
      </c>
      <c r="H3" s="14"/>
      <c r="I3" s="13">
        <f>E3+2</f>
        <v>44349</v>
      </c>
      <c r="J3" s="14"/>
      <c r="K3" s="13">
        <f>E3+3</f>
        <v>44350</v>
      </c>
      <c r="L3" s="14"/>
      <c r="M3" s="13">
        <f>E3+4</f>
        <v>44351</v>
      </c>
      <c r="N3" s="14"/>
      <c r="O3" s="13">
        <f>E3+5</f>
        <v>44352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17</v>
      </c>
      <c r="C4" s="18"/>
      <c r="D4" s="19"/>
      <c r="E4" s="35"/>
      <c r="F4" s="47"/>
      <c r="G4" s="35" t="s">
        <v>18</v>
      </c>
      <c r="H4" s="21" t="b">
        <v>1</v>
      </c>
      <c r="I4" s="35" t="s">
        <v>18</v>
      </c>
      <c r="J4" s="21" t="b">
        <v>1</v>
      </c>
      <c r="K4" s="22"/>
      <c r="L4" s="24"/>
      <c r="M4" s="22"/>
      <c r="N4" s="28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4</v>
      </c>
      <c r="C5" s="18"/>
      <c r="D5" s="19"/>
      <c r="E5" s="22" t="s">
        <v>3</v>
      </c>
      <c r="F5" s="21" t="b">
        <v>1</v>
      </c>
      <c r="G5" s="22"/>
      <c r="H5" s="21"/>
      <c r="I5" s="22"/>
      <c r="J5" s="21"/>
      <c r="K5" s="23"/>
      <c r="L5" s="24"/>
      <c r="M5" s="23"/>
      <c r="N5" s="24"/>
      <c r="O5" s="25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31"/>
      <c r="B6" s="34" t="s">
        <v>19</v>
      </c>
      <c r="C6" s="33"/>
      <c r="D6" s="19"/>
      <c r="E6" s="20"/>
      <c r="F6" s="21"/>
      <c r="G6" s="23"/>
      <c r="H6" s="24"/>
      <c r="I6" s="35" t="s">
        <v>8</v>
      </c>
      <c r="J6" s="21" t="b">
        <v>1</v>
      </c>
      <c r="K6" s="35" t="s">
        <v>8</v>
      </c>
      <c r="L6" s="21" t="b">
        <v>1</v>
      </c>
      <c r="M6" s="35" t="s">
        <v>8</v>
      </c>
      <c r="N6" s="21" t="b">
        <v>1</v>
      </c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31"/>
      <c r="B7" s="48" t="s">
        <v>20</v>
      </c>
      <c r="C7" s="33"/>
      <c r="D7" s="19"/>
      <c r="E7" s="20"/>
      <c r="F7" s="21"/>
      <c r="G7" s="35" t="s">
        <v>10</v>
      </c>
      <c r="H7" s="21" t="b">
        <v>1</v>
      </c>
      <c r="I7" s="35" t="s">
        <v>10</v>
      </c>
      <c r="J7" s="21" t="b">
        <v>1</v>
      </c>
      <c r="K7" s="35" t="s">
        <v>10</v>
      </c>
      <c r="L7" s="21" t="b">
        <v>1</v>
      </c>
      <c r="M7" s="22"/>
      <c r="N7" s="28"/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31"/>
      <c r="B8" s="48" t="s">
        <v>21</v>
      </c>
      <c r="C8" s="33"/>
      <c r="D8" s="19"/>
      <c r="E8" s="25"/>
      <c r="F8" s="28"/>
      <c r="G8" s="35" t="s">
        <v>22</v>
      </c>
      <c r="H8" s="21" t="b">
        <v>1</v>
      </c>
      <c r="I8" s="35" t="s">
        <v>22</v>
      </c>
      <c r="J8" s="21" t="b">
        <v>1</v>
      </c>
      <c r="K8" s="29"/>
      <c r="L8" s="49"/>
      <c r="M8" s="22"/>
      <c r="N8" s="28"/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31"/>
      <c r="B9" s="48" t="s">
        <v>23</v>
      </c>
      <c r="C9" s="33"/>
      <c r="D9" s="19"/>
      <c r="E9" s="22"/>
      <c r="F9" s="28"/>
      <c r="G9" s="35" t="s">
        <v>24</v>
      </c>
      <c r="H9" s="21" t="b">
        <v>1</v>
      </c>
      <c r="I9" s="35" t="s">
        <v>24</v>
      </c>
      <c r="J9" s="21" t="b">
        <v>1</v>
      </c>
      <c r="K9" s="35" t="s">
        <v>12</v>
      </c>
      <c r="L9" s="21" t="b">
        <v>1</v>
      </c>
      <c r="M9" s="35" t="s">
        <v>12</v>
      </c>
      <c r="N9" s="21" t="b">
        <v>1</v>
      </c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7.5" customHeight="1">
      <c r="A10" s="31"/>
      <c r="B10" s="48" t="s">
        <v>25</v>
      </c>
      <c r="C10" s="33"/>
      <c r="D10" s="19"/>
      <c r="E10" s="25"/>
      <c r="F10" s="28"/>
      <c r="G10" s="35" t="s">
        <v>22</v>
      </c>
      <c r="H10" s="21" t="b">
        <v>1</v>
      </c>
      <c r="I10" s="35" t="s">
        <v>22</v>
      </c>
      <c r="J10" s="21" t="b">
        <v>1</v>
      </c>
      <c r="K10" s="22"/>
      <c r="L10" s="21"/>
      <c r="M10" s="22"/>
      <c r="N10" s="28"/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31"/>
      <c r="B11" s="48" t="s">
        <v>26</v>
      </c>
      <c r="C11" s="33"/>
      <c r="D11" s="19"/>
      <c r="E11" s="35" t="s">
        <v>22</v>
      </c>
      <c r="F11" s="21" t="b">
        <v>1</v>
      </c>
      <c r="G11" s="35" t="s">
        <v>22</v>
      </c>
      <c r="H11" s="21" t="b">
        <v>1</v>
      </c>
      <c r="I11" s="22"/>
      <c r="J11" s="21"/>
      <c r="K11" s="20"/>
      <c r="L11" s="21"/>
      <c r="M11" s="20"/>
      <c r="N11" s="21"/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31"/>
      <c r="B12" s="32"/>
      <c r="C12" s="33"/>
      <c r="D12" s="19"/>
      <c r="E12" s="20"/>
      <c r="F12" s="24"/>
      <c r="G12" s="20"/>
      <c r="H12" s="24"/>
      <c r="I12" s="22"/>
      <c r="J12" s="21"/>
      <c r="K12" s="22"/>
      <c r="L12" s="21"/>
      <c r="M12" s="22"/>
      <c r="N12" s="21"/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31"/>
      <c r="B13" s="32"/>
      <c r="C13" s="33"/>
      <c r="D13" s="19"/>
      <c r="E13" s="20"/>
      <c r="F13" s="24"/>
      <c r="G13" s="20"/>
      <c r="H13" s="24"/>
      <c r="I13" s="22"/>
      <c r="J13" s="28"/>
      <c r="K13" s="22"/>
      <c r="L13" s="28"/>
      <c r="M13" s="22"/>
      <c r="N13" s="28"/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/>
      <c r="C14" s="33"/>
      <c r="D14" s="19"/>
      <c r="E14" s="20"/>
      <c r="F14" s="36"/>
      <c r="G14" s="20"/>
      <c r="H14" s="24"/>
      <c r="I14" s="22"/>
      <c r="J14" s="37"/>
      <c r="K14" s="22"/>
      <c r="L14" s="28"/>
      <c r="M14" s="22"/>
      <c r="N14" s="37"/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8"/>
      <c r="B15" s="38"/>
      <c r="C15" s="39"/>
      <c r="D15" s="40"/>
      <c r="E15" s="39"/>
      <c r="F15" s="40"/>
      <c r="G15" s="39"/>
      <c r="H15" s="40"/>
      <c r="I15" s="39"/>
      <c r="J15" s="40"/>
      <c r="K15" s="39"/>
      <c r="L15" s="40"/>
      <c r="M15" s="41"/>
      <c r="N15" s="40"/>
      <c r="O15" s="39"/>
      <c r="P15" s="40"/>
      <c r="Q15" s="27"/>
      <c r="R15" s="27"/>
      <c r="S15" s="27"/>
      <c r="T15" s="27"/>
      <c r="U15" s="27"/>
      <c r="V15" s="27"/>
      <c r="W15" s="27"/>
      <c r="X15" s="27"/>
      <c r="Y15" s="27"/>
    </row>
    <row r="16" ht="40.5" customHeight="1">
      <c r="A16" s="38"/>
      <c r="B16" s="38"/>
      <c r="C16" s="39"/>
      <c r="D16" s="40"/>
      <c r="E16" s="39"/>
      <c r="F16" s="40"/>
      <c r="G16" s="39"/>
      <c r="H16" s="40"/>
      <c r="I16" s="39"/>
      <c r="J16" s="40"/>
      <c r="K16" s="39"/>
      <c r="L16" s="40"/>
      <c r="M16" s="39"/>
      <c r="N16" s="40"/>
      <c r="O16" s="39"/>
      <c r="P16" s="40"/>
      <c r="Q16" s="27"/>
      <c r="R16" s="27"/>
      <c r="S16" s="27"/>
      <c r="T16" s="27"/>
      <c r="U16" s="27"/>
      <c r="V16" s="27"/>
      <c r="W16" s="27"/>
      <c r="X16" s="27"/>
      <c r="Y16" s="27"/>
    </row>
    <row r="17" ht="21.0" customHeight="1">
      <c r="A17" s="27"/>
      <c r="B17" s="27"/>
      <c r="C17" s="27"/>
      <c r="D17" s="42"/>
      <c r="E17" s="27"/>
      <c r="F17" s="43"/>
      <c r="G17" s="27"/>
      <c r="H17" s="43"/>
      <c r="I17" s="27"/>
      <c r="J17" s="43"/>
      <c r="K17" s="27"/>
      <c r="L17" s="43"/>
      <c r="M17" s="27"/>
      <c r="N17" s="43"/>
      <c r="O17" s="27"/>
      <c r="P17" s="43"/>
      <c r="Q17" s="27"/>
      <c r="R17" s="27"/>
      <c r="S17" s="27"/>
      <c r="T17" s="27"/>
      <c r="U17" s="27"/>
      <c r="V17" s="27"/>
      <c r="W17" s="27"/>
      <c r="X17" s="27"/>
      <c r="Y17" s="27"/>
    </row>
    <row r="18" ht="21.0" customHeight="1">
      <c r="A18" s="27"/>
      <c r="B18" s="27"/>
      <c r="C18" s="27"/>
      <c r="D18" s="42"/>
      <c r="E18" s="27"/>
      <c r="F18" s="43"/>
      <c r="G18" s="27"/>
      <c r="H18" s="43"/>
      <c r="I18" s="27"/>
      <c r="J18" s="43"/>
      <c r="K18" s="27"/>
      <c r="L18" s="43"/>
      <c r="M18" s="27"/>
      <c r="N18" s="43"/>
      <c r="O18" s="27"/>
      <c r="P18" s="43"/>
      <c r="Q18" s="27"/>
      <c r="R18" s="27"/>
      <c r="S18" s="27"/>
      <c r="T18" s="27"/>
      <c r="U18" s="27"/>
      <c r="V18" s="27"/>
      <c r="W18" s="27"/>
      <c r="X18" s="27"/>
      <c r="Y18" s="27"/>
    </row>
    <row r="19" ht="21.0" customHeight="1">
      <c r="A19" s="27"/>
      <c r="B19" s="27"/>
      <c r="C19" s="27"/>
      <c r="D19" s="42"/>
      <c r="E19" s="27"/>
      <c r="F19" s="43"/>
      <c r="G19" s="27"/>
      <c r="H19" s="43"/>
      <c r="I19" s="27"/>
      <c r="J19" s="43"/>
      <c r="K19" s="27"/>
      <c r="L19" s="43"/>
      <c r="M19" s="27"/>
      <c r="N19" s="43"/>
      <c r="O19" s="27"/>
      <c r="P19" s="43"/>
      <c r="Q19" s="27"/>
      <c r="R19" s="27"/>
      <c r="S19" s="27"/>
      <c r="T19" s="27"/>
      <c r="U19" s="27"/>
      <c r="V19" s="27"/>
      <c r="W19" s="27"/>
      <c r="X19" s="27"/>
      <c r="Y19" s="27"/>
    </row>
    <row r="20" ht="21.0" customHeight="1">
      <c r="A20" s="27"/>
      <c r="B20" s="27"/>
      <c r="C20" s="27"/>
      <c r="D20" s="42"/>
      <c r="E20" s="27"/>
      <c r="F20" s="43"/>
      <c r="G20" s="27"/>
      <c r="H20" s="43"/>
      <c r="I20" s="27"/>
      <c r="J20" s="43"/>
      <c r="K20" s="27"/>
      <c r="L20" s="43"/>
      <c r="M20" s="27"/>
      <c r="N20" s="43"/>
      <c r="O20" s="27"/>
      <c r="P20" s="43"/>
      <c r="Q20" s="27"/>
      <c r="R20" s="27"/>
      <c r="S20" s="27"/>
      <c r="T20" s="27"/>
      <c r="U20" s="27"/>
      <c r="V20" s="27"/>
      <c r="W20" s="27"/>
      <c r="X20" s="27"/>
      <c r="Y20" s="27"/>
    </row>
    <row r="21" ht="21.0" customHeight="1">
      <c r="A21" s="27"/>
      <c r="B21" s="27"/>
      <c r="C21" s="27"/>
      <c r="D21" s="42"/>
      <c r="E21" s="27"/>
      <c r="F21" s="43"/>
      <c r="G21" s="27"/>
      <c r="H21" s="43"/>
      <c r="I21" s="27"/>
      <c r="J21" s="43"/>
      <c r="K21" s="27"/>
      <c r="L21" s="43"/>
      <c r="M21" s="27"/>
      <c r="N21" s="43"/>
      <c r="O21" s="27"/>
      <c r="P21" s="43"/>
      <c r="Q21" s="27"/>
      <c r="R21" s="27"/>
      <c r="S21" s="27"/>
      <c r="T21" s="27"/>
      <c r="U21" s="27"/>
      <c r="V21" s="27"/>
      <c r="W21" s="27"/>
      <c r="X21" s="27"/>
      <c r="Y21" s="27"/>
    </row>
    <row r="22" ht="21.0" customHeight="1">
      <c r="A22" s="27"/>
      <c r="B22" s="27"/>
      <c r="C22" s="27"/>
      <c r="D22" s="42"/>
      <c r="E22" s="27"/>
      <c r="F22" s="43"/>
      <c r="G22" s="27"/>
      <c r="H22" s="43"/>
      <c r="I22" s="27"/>
      <c r="J22" s="43"/>
      <c r="K22" s="27"/>
      <c r="L22" s="43"/>
      <c r="M22" s="27"/>
      <c r="N22" s="43"/>
      <c r="O22" s="27"/>
      <c r="P22" s="43"/>
      <c r="Q22" s="27"/>
      <c r="R22" s="27"/>
      <c r="S22" s="27"/>
      <c r="T22" s="27"/>
      <c r="U22" s="27"/>
      <c r="V22" s="27"/>
      <c r="W22" s="27"/>
      <c r="X22" s="27"/>
      <c r="Y22" s="27"/>
    </row>
    <row r="23" ht="21.0" customHeight="1">
      <c r="A23" s="27"/>
      <c r="B23" s="27"/>
      <c r="C23" s="27"/>
      <c r="D23" s="42"/>
      <c r="E23" s="27"/>
      <c r="F23" s="43"/>
      <c r="G23" s="27"/>
      <c r="H23" s="43"/>
      <c r="I23" s="27"/>
      <c r="J23" s="43"/>
      <c r="K23" s="27"/>
      <c r="L23" s="43"/>
      <c r="M23" s="27"/>
      <c r="N23" s="43"/>
      <c r="O23" s="27"/>
      <c r="P23" s="43"/>
      <c r="Q23" s="27"/>
      <c r="R23" s="27"/>
      <c r="S23" s="27"/>
      <c r="T23" s="27"/>
      <c r="U23" s="27"/>
      <c r="V23" s="27"/>
      <c r="W23" s="27"/>
      <c r="X23" s="27"/>
      <c r="Y23" s="27"/>
    </row>
    <row r="24" ht="31.5" customHeight="1">
      <c r="A24" s="44"/>
      <c r="B24" s="44"/>
      <c r="C24" s="45"/>
      <c r="D24" s="46"/>
      <c r="E24" s="45"/>
      <c r="F24" s="46"/>
      <c r="G24" s="45"/>
      <c r="H24" s="46"/>
      <c r="I24" s="45"/>
      <c r="J24" s="46"/>
      <c r="K24" s="45"/>
      <c r="L24" s="46"/>
      <c r="M24" s="45"/>
      <c r="N24" s="46"/>
      <c r="O24" s="45"/>
      <c r="P24" s="46"/>
      <c r="Q24" s="27"/>
      <c r="R24" s="27"/>
      <c r="S24" s="27"/>
      <c r="T24" s="27"/>
      <c r="U24" s="27"/>
      <c r="V24" s="27"/>
      <c r="W24" s="27"/>
      <c r="X24" s="27"/>
      <c r="Y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6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27</v>
      </c>
      <c r="C3" s="13">
        <f>TODAY()-WEEKDAY(TODAY(),1)+8</f>
        <v>44360</v>
      </c>
      <c r="D3" s="14"/>
      <c r="E3" s="50">
        <v>44340.0</v>
      </c>
      <c r="F3" s="14"/>
      <c r="G3" s="13">
        <f>E3+1</f>
        <v>44341</v>
      </c>
      <c r="H3" s="14"/>
      <c r="I3" s="13">
        <f>E3+2</f>
        <v>44342</v>
      </c>
      <c r="J3" s="14"/>
      <c r="K3" s="13">
        <f>E3+3</f>
        <v>44343</v>
      </c>
      <c r="L3" s="14"/>
      <c r="M3" s="13">
        <f>E3+4</f>
        <v>44344</v>
      </c>
      <c r="N3" s="14"/>
      <c r="O3" s="13">
        <f>E3+5</f>
        <v>44345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17</v>
      </c>
      <c r="C4" s="18"/>
      <c r="D4" s="19"/>
      <c r="E4" s="20"/>
      <c r="F4" s="21"/>
      <c r="G4" s="20" t="s">
        <v>3</v>
      </c>
      <c r="H4" s="21" t="b">
        <v>1</v>
      </c>
      <c r="I4" s="25"/>
      <c r="J4" s="24"/>
      <c r="K4" s="22"/>
      <c r="L4" s="24"/>
      <c r="M4" s="22"/>
      <c r="N4" s="28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28</v>
      </c>
      <c r="C5" s="18"/>
      <c r="D5" s="19"/>
      <c r="E5" s="20" t="s">
        <v>3</v>
      </c>
      <c r="F5" s="21" t="b">
        <v>1</v>
      </c>
      <c r="G5" s="22"/>
      <c r="H5" s="21"/>
      <c r="I5" s="22"/>
      <c r="J5" s="21"/>
      <c r="K5" s="23"/>
      <c r="L5" s="24"/>
      <c r="M5" s="23"/>
      <c r="N5" s="24"/>
      <c r="O5" s="25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16"/>
      <c r="B6" s="17" t="s">
        <v>29</v>
      </c>
      <c r="C6" s="18"/>
      <c r="D6" s="19"/>
      <c r="E6" s="20" t="s">
        <v>12</v>
      </c>
      <c r="F6" s="21" t="b">
        <v>1</v>
      </c>
      <c r="G6" s="23"/>
      <c r="H6" s="24"/>
      <c r="I6" s="25"/>
      <c r="J6" s="24"/>
      <c r="K6" s="22"/>
      <c r="L6" s="24"/>
      <c r="M6" s="22"/>
      <c r="N6" s="28"/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16"/>
      <c r="B7" s="17" t="s">
        <v>4</v>
      </c>
      <c r="C7" s="18"/>
      <c r="D7" s="19"/>
      <c r="E7" s="22" t="s">
        <v>3</v>
      </c>
      <c r="F7" s="21" t="b">
        <v>1</v>
      </c>
      <c r="G7" s="22"/>
      <c r="H7" s="21"/>
      <c r="I7" s="22"/>
      <c r="J7" s="21"/>
      <c r="K7" s="23"/>
      <c r="L7" s="24"/>
      <c r="M7" s="23"/>
      <c r="N7" s="24"/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16"/>
      <c r="B8" s="51" t="s">
        <v>9</v>
      </c>
      <c r="C8" s="18"/>
      <c r="D8" s="19"/>
      <c r="E8" s="20"/>
      <c r="F8" s="21"/>
      <c r="G8" s="23"/>
      <c r="H8" s="24"/>
      <c r="I8" s="52" t="s">
        <v>10</v>
      </c>
      <c r="J8" s="53" t="b">
        <v>0</v>
      </c>
      <c r="K8" s="52" t="s">
        <v>10</v>
      </c>
      <c r="L8" s="53" t="b">
        <v>0</v>
      </c>
      <c r="M8" s="52" t="s">
        <v>10</v>
      </c>
      <c r="N8" s="53" t="b">
        <v>0</v>
      </c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16"/>
      <c r="B9" s="51" t="s">
        <v>30</v>
      </c>
      <c r="C9" s="18"/>
      <c r="D9" s="19"/>
      <c r="E9" s="25"/>
      <c r="F9" s="28"/>
      <c r="G9" s="22"/>
      <c r="H9" s="21"/>
      <c r="I9" s="52" t="s">
        <v>22</v>
      </c>
      <c r="J9" s="53" t="b">
        <v>0</v>
      </c>
      <c r="K9" s="52" t="s">
        <v>22</v>
      </c>
      <c r="L9" s="53" t="b">
        <v>0</v>
      </c>
      <c r="M9" s="52" t="s">
        <v>22</v>
      </c>
      <c r="N9" s="53" t="b">
        <v>0</v>
      </c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1.5" customHeight="1">
      <c r="A10" s="16"/>
      <c r="B10" s="51" t="s">
        <v>31</v>
      </c>
      <c r="C10" s="18"/>
      <c r="D10" s="19"/>
      <c r="E10" s="22"/>
      <c r="F10" s="28"/>
      <c r="G10" s="22"/>
      <c r="H10" s="28"/>
      <c r="I10" s="52" t="s">
        <v>8</v>
      </c>
      <c r="J10" s="53" t="b">
        <v>0</v>
      </c>
      <c r="K10" s="52" t="s">
        <v>8</v>
      </c>
      <c r="L10" s="53" t="b">
        <v>0</v>
      </c>
      <c r="M10" s="52" t="s">
        <v>8</v>
      </c>
      <c r="N10" s="53" t="b">
        <v>0</v>
      </c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16"/>
      <c r="B11" s="51" t="s">
        <v>32</v>
      </c>
      <c r="C11" s="18"/>
      <c r="D11" s="19"/>
      <c r="E11" s="22"/>
      <c r="F11" s="21"/>
      <c r="G11" s="22"/>
      <c r="H11" s="21"/>
      <c r="I11" s="22"/>
      <c r="J11" s="21"/>
      <c r="K11" s="20"/>
      <c r="L11" s="21"/>
      <c r="M11" s="20"/>
      <c r="N11" s="21"/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31"/>
      <c r="B12" s="32" t="s">
        <v>33</v>
      </c>
      <c r="C12" s="33"/>
      <c r="D12" s="19"/>
      <c r="E12" s="22" t="s">
        <v>10</v>
      </c>
      <c r="F12" s="21" t="b">
        <v>1</v>
      </c>
      <c r="G12" s="22" t="s">
        <v>10</v>
      </c>
      <c r="H12" s="21" t="b">
        <v>1</v>
      </c>
      <c r="I12" s="22" t="s">
        <v>10</v>
      </c>
      <c r="J12" s="21" t="b">
        <v>0</v>
      </c>
      <c r="K12" s="22" t="s">
        <v>10</v>
      </c>
      <c r="L12" s="21" t="b">
        <v>0</v>
      </c>
      <c r="M12" s="22" t="s">
        <v>10</v>
      </c>
      <c r="N12" s="21" t="b">
        <v>0</v>
      </c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16"/>
      <c r="B13" s="51" t="s">
        <v>34</v>
      </c>
      <c r="C13" s="33"/>
      <c r="D13" s="19"/>
      <c r="E13" s="20"/>
      <c r="F13" s="24"/>
      <c r="G13" s="20"/>
      <c r="H13" s="21"/>
      <c r="I13" s="54" t="s">
        <v>6</v>
      </c>
      <c r="J13" s="53" t="b">
        <v>0</v>
      </c>
      <c r="K13" s="54" t="s">
        <v>6</v>
      </c>
      <c r="L13" s="53" t="b">
        <v>0</v>
      </c>
      <c r="M13" s="54" t="s">
        <v>6</v>
      </c>
      <c r="N13" s="53" t="b">
        <v>0</v>
      </c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 t="s">
        <v>35</v>
      </c>
      <c r="C14" s="33"/>
      <c r="D14" s="19"/>
      <c r="E14" s="20"/>
      <c r="F14" s="24"/>
      <c r="G14" s="20"/>
      <c r="H14" s="21"/>
      <c r="I14" s="20" t="s">
        <v>8</v>
      </c>
      <c r="J14" s="21" t="b">
        <v>1</v>
      </c>
      <c r="K14" s="20" t="s">
        <v>8</v>
      </c>
      <c r="L14" s="21" t="b">
        <v>1</v>
      </c>
      <c r="M14" s="20" t="s">
        <v>8</v>
      </c>
      <c r="N14" s="21" t="b">
        <v>1</v>
      </c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1"/>
      <c r="B15" s="32"/>
      <c r="C15" s="33"/>
      <c r="D15" s="19"/>
      <c r="E15" s="20"/>
      <c r="F15" s="21"/>
      <c r="G15" s="23"/>
      <c r="H15" s="24"/>
      <c r="I15" s="23"/>
      <c r="J15" s="24"/>
      <c r="K15" s="22"/>
      <c r="L15" s="28"/>
      <c r="M15" s="22"/>
      <c r="N15" s="28"/>
      <c r="O15" s="25"/>
      <c r="P15" s="26"/>
      <c r="Q15" s="27"/>
      <c r="R15" s="27"/>
      <c r="S15" s="27"/>
      <c r="T15" s="27"/>
      <c r="U15" s="27"/>
      <c r="V15" s="27"/>
      <c r="W15" s="27"/>
      <c r="X15" s="27"/>
      <c r="Y15" s="27"/>
    </row>
    <row r="16" ht="31.5" customHeight="1">
      <c r="A16" s="31"/>
      <c r="B16" s="32"/>
      <c r="C16" s="33"/>
      <c r="D16" s="19"/>
      <c r="E16" s="20"/>
      <c r="F16" s="21"/>
      <c r="G16" s="23"/>
      <c r="H16" s="24"/>
      <c r="I16" s="25"/>
      <c r="J16" s="24"/>
      <c r="K16" s="22"/>
      <c r="L16" s="24"/>
      <c r="M16" s="22"/>
      <c r="N16" s="28"/>
      <c r="O16" s="25"/>
      <c r="P16" s="26"/>
      <c r="Q16" s="27"/>
      <c r="R16" s="27"/>
      <c r="S16" s="27"/>
      <c r="T16" s="27"/>
      <c r="U16" s="27"/>
      <c r="V16" s="27"/>
      <c r="W16" s="27"/>
      <c r="X16" s="27"/>
      <c r="Y16" s="27"/>
    </row>
    <row r="17" ht="31.5" customHeight="1">
      <c r="A17" s="31"/>
      <c r="B17" s="32"/>
      <c r="C17" s="33"/>
      <c r="D17" s="19"/>
      <c r="E17" s="25"/>
      <c r="F17" s="28"/>
      <c r="G17" s="22"/>
      <c r="H17" s="21"/>
      <c r="I17" s="22"/>
      <c r="J17" s="21"/>
      <c r="K17" s="22"/>
      <c r="L17" s="28"/>
      <c r="M17" s="22"/>
      <c r="N17" s="28"/>
      <c r="O17" s="25"/>
      <c r="P17" s="26"/>
      <c r="Q17" s="27"/>
      <c r="R17" s="27"/>
      <c r="S17" s="27"/>
      <c r="T17" s="27"/>
      <c r="U17" s="27"/>
      <c r="V17" s="27"/>
      <c r="W17" s="27"/>
      <c r="X17" s="27"/>
      <c r="Y17" s="27"/>
    </row>
    <row r="18" ht="31.5" customHeight="1">
      <c r="A18" s="31"/>
      <c r="B18" s="32"/>
      <c r="C18" s="33"/>
      <c r="D18" s="19"/>
      <c r="E18" s="22"/>
      <c r="F18" s="28"/>
      <c r="G18" s="22"/>
      <c r="H18" s="28"/>
      <c r="I18" s="22"/>
      <c r="J18" s="28"/>
      <c r="K18" s="22"/>
      <c r="L18" s="21"/>
      <c r="M18" s="22"/>
      <c r="N18" s="21"/>
      <c r="O18" s="25"/>
      <c r="P18" s="26"/>
      <c r="Q18" s="27"/>
      <c r="R18" s="27"/>
      <c r="S18" s="27"/>
      <c r="T18" s="27"/>
      <c r="U18" s="27"/>
      <c r="V18" s="27"/>
      <c r="W18" s="27"/>
      <c r="X18" s="27"/>
      <c r="Y18" s="27"/>
    </row>
    <row r="19" ht="37.5" customHeight="1">
      <c r="A19" s="31"/>
      <c r="B19" s="32"/>
      <c r="C19" s="33"/>
      <c r="D19" s="19"/>
      <c r="E19" s="25"/>
      <c r="F19" s="28"/>
      <c r="G19" s="25"/>
      <c r="H19" s="28"/>
      <c r="I19" s="25"/>
      <c r="J19" s="28"/>
      <c r="K19" s="22"/>
      <c r="L19" s="21"/>
      <c r="M19" s="22"/>
      <c r="N19" s="28"/>
      <c r="O19" s="25"/>
      <c r="P19" s="26"/>
      <c r="Q19" s="27"/>
      <c r="R19" s="27"/>
      <c r="S19" s="27"/>
      <c r="T19" s="27"/>
      <c r="U19" s="27"/>
      <c r="V19" s="27"/>
      <c r="W19" s="27"/>
      <c r="X19" s="27"/>
      <c r="Y19" s="27"/>
    </row>
    <row r="20" ht="31.5" customHeight="1">
      <c r="A20" s="31"/>
      <c r="B20" s="32"/>
      <c r="C20" s="33"/>
      <c r="D20" s="19"/>
      <c r="E20" s="20"/>
      <c r="F20" s="24"/>
      <c r="G20" s="20"/>
      <c r="H20" s="24"/>
      <c r="I20" s="22"/>
      <c r="J20" s="21"/>
      <c r="K20" s="20"/>
      <c r="L20" s="21"/>
      <c r="M20" s="20"/>
      <c r="N20" s="21"/>
      <c r="O20" s="25"/>
      <c r="P20" s="26"/>
      <c r="Q20" s="27"/>
      <c r="R20" s="27"/>
      <c r="S20" s="27"/>
      <c r="T20" s="27"/>
      <c r="U20" s="27"/>
      <c r="V20" s="27"/>
      <c r="W20" s="27"/>
      <c r="X20" s="27"/>
      <c r="Y20" s="27"/>
    </row>
    <row r="21" ht="31.5" customHeight="1">
      <c r="A21" s="31"/>
      <c r="B21" s="32"/>
      <c r="C21" s="33"/>
      <c r="D21" s="19"/>
      <c r="E21" s="20"/>
      <c r="F21" s="24"/>
      <c r="G21" s="20"/>
      <c r="H21" s="24"/>
      <c r="I21" s="22"/>
      <c r="J21" s="21"/>
      <c r="K21" s="22"/>
      <c r="L21" s="21"/>
      <c r="M21" s="22"/>
      <c r="N21" s="21"/>
      <c r="O21" s="25"/>
      <c r="P21" s="26"/>
      <c r="Q21" s="27"/>
      <c r="R21" s="27"/>
      <c r="S21" s="27"/>
      <c r="T21" s="27"/>
      <c r="U21" s="27"/>
      <c r="V21" s="27"/>
      <c r="W21" s="27"/>
      <c r="X21" s="27"/>
      <c r="Y21" s="27"/>
    </row>
    <row r="22" ht="31.5" customHeight="1">
      <c r="A22" s="31"/>
      <c r="B22" s="32"/>
      <c r="C22" s="33"/>
      <c r="D22" s="19"/>
      <c r="E22" s="20"/>
      <c r="F22" s="24"/>
      <c r="G22" s="20"/>
      <c r="H22" s="24"/>
      <c r="I22" s="22"/>
      <c r="J22" s="28"/>
      <c r="K22" s="22"/>
      <c r="L22" s="28"/>
      <c r="M22" s="22"/>
      <c r="N22" s="28"/>
      <c r="O22" s="25"/>
      <c r="P22" s="26"/>
      <c r="Q22" s="27"/>
      <c r="R22" s="27"/>
      <c r="S22" s="27"/>
      <c r="T22" s="27"/>
      <c r="U22" s="27"/>
      <c r="V22" s="27"/>
      <c r="W22" s="27"/>
      <c r="X22" s="27"/>
      <c r="Y22" s="27"/>
    </row>
    <row r="23" ht="31.5" customHeight="1">
      <c r="A23" s="31"/>
      <c r="B23" s="32"/>
      <c r="C23" s="33"/>
      <c r="D23" s="19"/>
      <c r="E23" s="20"/>
      <c r="F23" s="36"/>
      <c r="G23" s="20"/>
      <c r="H23" s="24"/>
      <c r="I23" s="22"/>
      <c r="J23" s="37"/>
      <c r="K23" s="22"/>
      <c r="L23" s="28"/>
      <c r="M23" s="22"/>
      <c r="N23" s="37"/>
      <c r="O23" s="25"/>
      <c r="P23" s="26"/>
      <c r="Q23" s="27"/>
      <c r="R23" s="27"/>
      <c r="S23" s="27"/>
      <c r="T23" s="27"/>
      <c r="U23" s="27"/>
      <c r="V23" s="27"/>
      <c r="W23" s="27"/>
      <c r="X23" s="27"/>
      <c r="Y23" s="27"/>
    </row>
    <row r="24" ht="31.5" customHeight="1">
      <c r="A24" s="38"/>
      <c r="B24" s="38"/>
      <c r="C24" s="39"/>
      <c r="D24" s="40"/>
      <c r="E24" s="39"/>
      <c r="F24" s="40"/>
      <c r="G24" s="39"/>
      <c r="H24" s="40"/>
      <c r="I24" s="39"/>
      <c r="J24" s="40"/>
      <c r="K24" s="39"/>
      <c r="L24" s="40"/>
      <c r="M24" s="41"/>
      <c r="N24" s="40"/>
      <c r="O24" s="39"/>
      <c r="P24" s="40"/>
      <c r="Q24" s="27"/>
      <c r="R24" s="27"/>
      <c r="S24" s="27"/>
      <c r="T24" s="27"/>
      <c r="U24" s="27"/>
      <c r="V24" s="27"/>
      <c r="W24" s="27"/>
      <c r="X24" s="27"/>
      <c r="Y24" s="27"/>
    </row>
    <row r="25" ht="40.5" customHeight="1">
      <c r="A25" s="38"/>
      <c r="B25" s="38"/>
      <c r="C25" s="39"/>
      <c r="D25" s="40"/>
      <c r="E25" s="39"/>
      <c r="F25" s="40"/>
      <c r="G25" s="39"/>
      <c r="H25" s="40"/>
      <c r="I25" s="39"/>
      <c r="J25" s="40"/>
      <c r="K25" s="39"/>
      <c r="L25" s="40"/>
      <c r="M25" s="39"/>
      <c r="N25" s="40"/>
      <c r="O25" s="39"/>
      <c r="P25" s="40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</row>
    <row r="33" ht="31.5" customHeight="1">
      <c r="A33" s="44"/>
      <c r="B33" s="44"/>
      <c r="C33" s="45"/>
      <c r="D33" s="46"/>
      <c r="E33" s="45"/>
      <c r="F33" s="46"/>
      <c r="G33" s="45"/>
      <c r="H33" s="46"/>
      <c r="I33" s="45"/>
      <c r="J33" s="46"/>
      <c r="K33" s="45"/>
      <c r="L33" s="46"/>
      <c r="M33" s="45"/>
      <c r="N33" s="46"/>
      <c r="O33" s="45"/>
      <c r="P33" s="46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</row>
    <row r="1001" ht="21.0" customHeight="1">
      <c r="A1001" s="27"/>
      <c r="B1001" s="27"/>
      <c r="C1001" s="27"/>
      <c r="D1001" s="42"/>
      <c r="E1001" s="27"/>
      <c r="F1001" s="43"/>
      <c r="G1001" s="27"/>
      <c r="H1001" s="43"/>
      <c r="I1001" s="27"/>
      <c r="J1001" s="43"/>
      <c r="K1001" s="27"/>
      <c r="L1001" s="43"/>
      <c r="M1001" s="27"/>
      <c r="N1001" s="43"/>
      <c r="O1001" s="27"/>
      <c r="P1001" s="43"/>
      <c r="Q1001" s="27"/>
      <c r="R1001" s="27"/>
      <c r="S1001" s="27"/>
      <c r="T1001" s="27"/>
      <c r="U1001" s="27"/>
      <c r="V1001" s="27"/>
      <c r="W1001" s="27"/>
      <c r="X1001" s="27"/>
      <c r="Y1001" s="27"/>
    </row>
    <row r="1002" ht="21.0" customHeight="1">
      <c r="A1002" s="27"/>
      <c r="B1002" s="27"/>
      <c r="C1002" s="27"/>
      <c r="D1002" s="42"/>
      <c r="E1002" s="27"/>
      <c r="F1002" s="43"/>
      <c r="G1002" s="27"/>
      <c r="H1002" s="43"/>
      <c r="I1002" s="27"/>
      <c r="J1002" s="43"/>
      <c r="K1002" s="27"/>
      <c r="L1002" s="43"/>
      <c r="M1002" s="27"/>
      <c r="N1002" s="43"/>
      <c r="O1002" s="27"/>
      <c r="P1002" s="43"/>
      <c r="Q1002" s="27"/>
      <c r="R1002" s="27"/>
      <c r="S1002" s="27"/>
      <c r="T1002" s="27"/>
      <c r="U1002" s="27"/>
      <c r="V1002" s="27"/>
      <c r="W1002" s="27"/>
      <c r="X1002" s="27"/>
      <c r="Y1002" s="27"/>
    </row>
    <row r="1003" ht="21.0" customHeight="1">
      <c r="A1003" s="27"/>
      <c r="B1003" s="27"/>
      <c r="C1003" s="27"/>
      <c r="D1003" s="42"/>
      <c r="E1003" s="27"/>
      <c r="F1003" s="43"/>
      <c r="G1003" s="27"/>
      <c r="H1003" s="43"/>
      <c r="I1003" s="27"/>
      <c r="J1003" s="43"/>
      <c r="K1003" s="27"/>
      <c r="L1003" s="43"/>
      <c r="M1003" s="27"/>
      <c r="N1003" s="43"/>
      <c r="O1003" s="27"/>
      <c r="P1003" s="43"/>
      <c r="Q1003" s="27"/>
      <c r="R1003" s="27"/>
      <c r="S1003" s="27"/>
      <c r="T1003" s="27"/>
      <c r="U1003" s="27"/>
      <c r="V1003" s="27"/>
      <c r="W1003" s="27"/>
      <c r="X1003" s="27"/>
      <c r="Y1003" s="27"/>
    </row>
    <row r="1004" ht="21.0" customHeight="1">
      <c r="A1004" s="27"/>
      <c r="B1004" s="27"/>
      <c r="C1004" s="27"/>
      <c r="D1004" s="42"/>
      <c r="E1004" s="27"/>
      <c r="F1004" s="43"/>
      <c r="G1004" s="27"/>
      <c r="H1004" s="43"/>
      <c r="I1004" s="27"/>
      <c r="J1004" s="43"/>
      <c r="K1004" s="27"/>
      <c r="L1004" s="43"/>
      <c r="M1004" s="27"/>
      <c r="N1004" s="43"/>
      <c r="O1004" s="27"/>
      <c r="P1004" s="43"/>
      <c r="Q1004" s="27"/>
      <c r="R1004" s="27"/>
      <c r="S1004" s="27"/>
      <c r="T1004" s="27"/>
      <c r="U1004" s="27"/>
      <c r="V1004" s="27"/>
      <c r="W1004" s="27"/>
      <c r="X1004" s="27"/>
      <c r="Y1004" s="27"/>
    </row>
    <row r="1005" ht="21.0" customHeight="1">
      <c r="A1005" s="27"/>
      <c r="B1005" s="27"/>
      <c r="C1005" s="27"/>
      <c r="D1005" s="42"/>
      <c r="E1005" s="27"/>
      <c r="F1005" s="43"/>
      <c r="G1005" s="27"/>
      <c r="H1005" s="43"/>
      <c r="I1005" s="27"/>
      <c r="J1005" s="43"/>
      <c r="K1005" s="27"/>
      <c r="L1005" s="43"/>
      <c r="M1005" s="27"/>
      <c r="N1005" s="43"/>
      <c r="O1005" s="27"/>
      <c r="P1005" s="43"/>
      <c r="Q1005" s="27"/>
      <c r="R1005" s="27"/>
      <c r="S1005" s="27"/>
      <c r="T1005" s="27"/>
      <c r="U1005" s="27"/>
      <c r="V1005" s="27"/>
      <c r="W1005" s="27"/>
      <c r="X1005" s="27"/>
      <c r="Y1005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36</v>
      </c>
      <c r="C3" s="13">
        <f>TODAY()-WEEKDAY(TODAY(),1)+8</f>
        <v>44360</v>
      </c>
      <c r="D3" s="14"/>
      <c r="E3" s="50">
        <v>44333.0</v>
      </c>
      <c r="F3" s="14"/>
      <c r="G3" s="13">
        <f>E3+1</f>
        <v>44334</v>
      </c>
      <c r="H3" s="14"/>
      <c r="I3" s="13">
        <f>E3+2</f>
        <v>44335</v>
      </c>
      <c r="J3" s="14"/>
      <c r="K3" s="13">
        <f>E3+3</f>
        <v>44336</v>
      </c>
      <c r="L3" s="14"/>
      <c r="M3" s="13">
        <f>E3+4</f>
        <v>44337</v>
      </c>
      <c r="N3" s="14"/>
      <c r="O3" s="13">
        <f>E3+5</f>
        <v>44338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37</v>
      </c>
      <c r="C4" s="18"/>
      <c r="D4" s="19"/>
      <c r="E4" s="20" t="s">
        <v>12</v>
      </c>
      <c r="F4" s="21" t="b">
        <v>1</v>
      </c>
      <c r="G4" s="22"/>
      <c r="H4" s="28"/>
      <c r="I4" s="22"/>
      <c r="J4" s="24"/>
      <c r="K4" s="23"/>
      <c r="L4" s="24"/>
      <c r="M4" s="25"/>
      <c r="N4" s="28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38</v>
      </c>
      <c r="C5" s="18"/>
      <c r="D5" s="19"/>
      <c r="E5" s="20" t="s">
        <v>12</v>
      </c>
      <c r="F5" s="21" t="b">
        <v>1</v>
      </c>
      <c r="G5" s="20" t="s">
        <v>12</v>
      </c>
      <c r="H5" s="21" t="b">
        <v>1</v>
      </c>
      <c r="I5" s="20" t="s">
        <v>12</v>
      </c>
      <c r="J5" s="21" t="b">
        <v>1</v>
      </c>
      <c r="K5" s="20" t="s">
        <v>12</v>
      </c>
      <c r="L5" s="55" t="b">
        <v>1</v>
      </c>
      <c r="M5" s="20"/>
      <c r="N5" s="56"/>
      <c r="O5" s="57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16"/>
      <c r="B6" s="17" t="s">
        <v>39</v>
      </c>
      <c r="C6" s="18"/>
      <c r="D6" s="19"/>
      <c r="E6" s="22"/>
      <c r="F6" s="21"/>
      <c r="G6" s="22"/>
      <c r="H6" s="21"/>
      <c r="I6" s="20" t="s">
        <v>12</v>
      </c>
      <c r="J6" s="21" t="b">
        <v>1</v>
      </c>
      <c r="K6" s="20" t="s">
        <v>12</v>
      </c>
      <c r="L6" s="21" t="b">
        <v>1</v>
      </c>
      <c r="M6" s="25"/>
      <c r="N6" s="28"/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16"/>
      <c r="B7" s="17" t="s">
        <v>40</v>
      </c>
      <c r="C7" s="18"/>
      <c r="D7" s="19"/>
      <c r="E7" s="22" t="s">
        <v>8</v>
      </c>
      <c r="F7" s="21" t="b">
        <v>1</v>
      </c>
      <c r="G7" s="22" t="s">
        <v>8</v>
      </c>
      <c r="H7" s="21" t="b">
        <v>1</v>
      </c>
      <c r="I7" s="22"/>
      <c r="J7" s="21"/>
      <c r="K7" s="23"/>
      <c r="L7" s="24"/>
      <c r="M7" s="25"/>
      <c r="N7" s="28"/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16"/>
      <c r="B8" s="17" t="s">
        <v>41</v>
      </c>
      <c r="C8" s="18"/>
      <c r="D8" s="19"/>
      <c r="E8" s="22" t="s">
        <v>8</v>
      </c>
      <c r="F8" s="21" t="b">
        <v>1</v>
      </c>
      <c r="G8" s="22" t="s">
        <v>8</v>
      </c>
      <c r="H8" s="21" t="b">
        <v>1</v>
      </c>
      <c r="I8" s="22" t="s">
        <v>8</v>
      </c>
      <c r="J8" s="21" t="b">
        <v>1</v>
      </c>
      <c r="K8" s="23"/>
      <c r="L8" s="24"/>
      <c r="M8" s="25"/>
      <c r="N8" s="28"/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16"/>
      <c r="B9" s="17" t="s">
        <v>42</v>
      </c>
      <c r="C9" s="18"/>
      <c r="D9" s="19"/>
      <c r="E9" s="22"/>
      <c r="F9" s="21"/>
      <c r="G9" s="22"/>
      <c r="H9" s="21"/>
      <c r="I9" s="22" t="s">
        <v>8</v>
      </c>
      <c r="J9" s="21" t="b">
        <v>1</v>
      </c>
      <c r="K9" s="22" t="s">
        <v>8</v>
      </c>
      <c r="L9" s="21" t="b">
        <v>1</v>
      </c>
      <c r="M9" s="25"/>
      <c r="N9" s="28"/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1.5" customHeight="1">
      <c r="A10" s="16"/>
      <c r="B10" s="17" t="s">
        <v>43</v>
      </c>
      <c r="C10" s="18"/>
      <c r="D10" s="19"/>
      <c r="E10" s="22" t="s">
        <v>10</v>
      </c>
      <c r="F10" s="21" t="b">
        <v>1</v>
      </c>
      <c r="G10" s="22" t="s">
        <v>10</v>
      </c>
      <c r="H10" s="21" t="b">
        <v>1</v>
      </c>
      <c r="I10" s="22"/>
      <c r="J10" s="21"/>
      <c r="K10" s="23"/>
      <c r="L10" s="24"/>
      <c r="M10" s="25"/>
      <c r="N10" s="28"/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16"/>
      <c r="B11" s="34" t="s">
        <v>44</v>
      </c>
      <c r="C11" s="18"/>
      <c r="D11" s="19"/>
      <c r="E11" s="22"/>
      <c r="F11" s="21"/>
      <c r="G11" s="22"/>
      <c r="H11" s="21"/>
      <c r="I11" s="22"/>
      <c r="J11" s="21"/>
      <c r="K11" s="20" t="s">
        <v>8</v>
      </c>
      <c r="L11" s="21" t="b">
        <v>1</v>
      </c>
      <c r="M11" s="22" t="s">
        <v>8</v>
      </c>
      <c r="N11" s="21" t="b">
        <v>1</v>
      </c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31"/>
      <c r="B12" s="32" t="s">
        <v>45</v>
      </c>
      <c r="C12" s="33"/>
      <c r="D12" s="19"/>
      <c r="E12" s="20" t="s">
        <v>22</v>
      </c>
      <c r="F12" s="21" t="b">
        <v>1</v>
      </c>
      <c r="G12" s="22" t="s">
        <v>22</v>
      </c>
      <c r="H12" s="21" t="b">
        <v>1</v>
      </c>
      <c r="I12" s="22" t="s">
        <v>22</v>
      </c>
      <c r="J12" s="21" t="b">
        <v>1</v>
      </c>
      <c r="K12" s="23"/>
      <c r="L12" s="24"/>
      <c r="M12" s="25"/>
      <c r="N12" s="28"/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16"/>
      <c r="B13" s="17" t="s">
        <v>46</v>
      </c>
      <c r="C13" s="33"/>
      <c r="D13" s="19"/>
      <c r="E13" s="20"/>
      <c r="F13" s="24"/>
      <c r="G13" s="20" t="s">
        <v>47</v>
      </c>
      <c r="H13" s="21" t="b">
        <v>1</v>
      </c>
      <c r="I13" s="20" t="s">
        <v>47</v>
      </c>
      <c r="J13" s="21" t="b">
        <v>1</v>
      </c>
      <c r="K13" s="20" t="s">
        <v>47</v>
      </c>
      <c r="L13" s="21" t="b">
        <v>1</v>
      </c>
      <c r="M13" s="22"/>
      <c r="N13" s="28"/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 t="s">
        <v>48</v>
      </c>
      <c r="C14" s="33"/>
      <c r="D14" s="19"/>
      <c r="E14" s="20"/>
      <c r="F14" s="24"/>
      <c r="G14" s="20" t="s">
        <v>47</v>
      </c>
      <c r="H14" s="21" t="b">
        <v>1</v>
      </c>
      <c r="I14" s="20" t="s">
        <v>47</v>
      </c>
      <c r="J14" s="21" t="b">
        <v>1</v>
      </c>
      <c r="K14" s="20" t="s">
        <v>47</v>
      </c>
      <c r="L14" s="21" t="b">
        <v>1</v>
      </c>
      <c r="M14" s="22"/>
      <c r="N14" s="28"/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1"/>
      <c r="B15" s="32" t="s">
        <v>49</v>
      </c>
      <c r="C15" s="33"/>
      <c r="D15" s="19"/>
      <c r="E15" s="20" t="s">
        <v>3</v>
      </c>
      <c r="F15" s="21" t="b">
        <v>1</v>
      </c>
      <c r="G15" s="23"/>
      <c r="H15" s="24"/>
      <c r="I15" s="23"/>
      <c r="J15" s="24"/>
      <c r="K15" s="22"/>
      <c r="L15" s="28"/>
      <c r="M15" s="22"/>
      <c r="N15" s="28"/>
      <c r="O15" s="25"/>
      <c r="P15" s="26"/>
      <c r="Q15" s="27"/>
      <c r="R15" s="27"/>
      <c r="S15" s="27"/>
      <c r="T15" s="27"/>
      <c r="U15" s="27"/>
      <c r="V15" s="27"/>
      <c r="W15" s="27"/>
      <c r="X15" s="27"/>
      <c r="Y15" s="27"/>
    </row>
    <row r="16" ht="31.5" customHeight="1">
      <c r="A16" s="31"/>
      <c r="B16" s="32" t="s">
        <v>50</v>
      </c>
      <c r="C16" s="33"/>
      <c r="D16" s="19"/>
      <c r="E16" s="20" t="s">
        <v>3</v>
      </c>
      <c r="F16" s="21" t="b">
        <v>1</v>
      </c>
      <c r="G16" s="23"/>
      <c r="H16" s="24"/>
      <c r="I16" s="25"/>
      <c r="J16" s="24"/>
      <c r="K16" s="22"/>
      <c r="L16" s="24"/>
      <c r="M16" s="22"/>
      <c r="N16" s="28"/>
      <c r="O16" s="25"/>
      <c r="P16" s="26"/>
      <c r="Q16" s="27"/>
      <c r="R16" s="27"/>
      <c r="S16" s="27"/>
      <c r="T16" s="27"/>
      <c r="U16" s="27"/>
      <c r="V16" s="27"/>
      <c r="W16" s="27"/>
      <c r="X16" s="27"/>
      <c r="Y16" s="27"/>
    </row>
    <row r="17" ht="31.5" customHeight="1">
      <c r="A17" s="31"/>
      <c r="B17" s="32" t="s">
        <v>51</v>
      </c>
      <c r="C17" s="33"/>
      <c r="D17" s="19"/>
      <c r="E17" s="25"/>
      <c r="F17" s="28"/>
      <c r="G17" s="22" t="s">
        <v>3</v>
      </c>
      <c r="H17" s="21" t="b">
        <v>1</v>
      </c>
      <c r="I17" s="22" t="s">
        <v>3</v>
      </c>
      <c r="J17" s="21" t="b">
        <v>1</v>
      </c>
      <c r="K17" s="22"/>
      <c r="L17" s="28"/>
      <c r="M17" s="22"/>
      <c r="N17" s="28"/>
      <c r="O17" s="25"/>
      <c r="P17" s="26"/>
      <c r="Q17" s="27"/>
      <c r="R17" s="27"/>
      <c r="S17" s="27"/>
      <c r="T17" s="27"/>
      <c r="U17" s="27"/>
      <c r="V17" s="27"/>
      <c r="W17" s="27"/>
      <c r="X17" s="27"/>
      <c r="Y17" s="27"/>
    </row>
    <row r="18" ht="31.5" customHeight="1">
      <c r="A18" s="31"/>
      <c r="B18" s="32" t="s">
        <v>52</v>
      </c>
      <c r="C18" s="33"/>
      <c r="D18" s="19"/>
      <c r="E18" s="22"/>
      <c r="F18" s="28"/>
      <c r="G18" s="22"/>
      <c r="H18" s="28"/>
      <c r="I18" s="22"/>
      <c r="J18" s="28"/>
      <c r="K18" s="22" t="s">
        <v>3</v>
      </c>
      <c r="L18" s="21" t="b">
        <v>1</v>
      </c>
      <c r="M18" s="22" t="s">
        <v>3</v>
      </c>
      <c r="N18" s="21" t="b">
        <v>1</v>
      </c>
      <c r="O18" s="25"/>
      <c r="P18" s="26"/>
      <c r="Q18" s="27"/>
      <c r="R18" s="27"/>
      <c r="S18" s="27"/>
      <c r="T18" s="27"/>
      <c r="U18" s="27"/>
      <c r="V18" s="27"/>
      <c r="W18" s="27"/>
      <c r="X18" s="27"/>
      <c r="Y18" s="27"/>
    </row>
    <row r="19" ht="37.5" customHeight="1">
      <c r="A19" s="31"/>
      <c r="B19" s="32" t="s">
        <v>53</v>
      </c>
      <c r="C19" s="33"/>
      <c r="D19" s="19"/>
      <c r="E19" s="25"/>
      <c r="F19" s="28"/>
      <c r="G19" s="25"/>
      <c r="H19" s="28"/>
      <c r="I19" s="25"/>
      <c r="J19" s="28"/>
      <c r="K19" s="22"/>
      <c r="L19" s="21"/>
      <c r="M19" s="22"/>
      <c r="N19" s="28"/>
      <c r="O19" s="25"/>
      <c r="P19" s="26"/>
      <c r="Q19" s="27"/>
      <c r="R19" s="27"/>
      <c r="S19" s="27"/>
      <c r="T19" s="27"/>
      <c r="U19" s="27"/>
      <c r="V19" s="27"/>
      <c r="W19" s="27"/>
      <c r="X19" s="27"/>
      <c r="Y19" s="27"/>
    </row>
    <row r="20" ht="31.5" customHeight="1">
      <c r="A20" s="31"/>
      <c r="B20" s="32" t="s">
        <v>54</v>
      </c>
      <c r="C20" s="33"/>
      <c r="D20" s="19"/>
      <c r="E20" s="20"/>
      <c r="F20" s="24"/>
      <c r="G20" s="20"/>
      <c r="H20" s="24"/>
      <c r="I20" s="22" t="s">
        <v>10</v>
      </c>
      <c r="J20" s="21" t="b">
        <v>1</v>
      </c>
      <c r="K20" s="20" t="s">
        <v>55</v>
      </c>
      <c r="L20" s="21" t="b">
        <v>1</v>
      </c>
      <c r="M20" s="20" t="s">
        <v>55</v>
      </c>
      <c r="N20" s="21" t="b">
        <v>1</v>
      </c>
      <c r="O20" s="25"/>
      <c r="P20" s="26"/>
      <c r="Q20" s="27"/>
      <c r="R20" s="27"/>
      <c r="S20" s="27"/>
      <c r="T20" s="27"/>
      <c r="U20" s="27"/>
      <c r="V20" s="27"/>
      <c r="W20" s="27"/>
      <c r="X20" s="27"/>
      <c r="Y20" s="27"/>
    </row>
    <row r="21" ht="31.5" customHeight="1">
      <c r="A21" s="31"/>
      <c r="B21" s="32" t="s">
        <v>56</v>
      </c>
      <c r="C21" s="33"/>
      <c r="D21" s="19"/>
      <c r="E21" s="20"/>
      <c r="F21" s="24"/>
      <c r="G21" s="20"/>
      <c r="H21" s="24"/>
      <c r="I21" s="22" t="s">
        <v>10</v>
      </c>
      <c r="J21" s="21" t="b">
        <v>1</v>
      </c>
      <c r="K21" s="22" t="s">
        <v>55</v>
      </c>
      <c r="L21" s="21" t="b">
        <v>1</v>
      </c>
      <c r="M21" s="22" t="s">
        <v>55</v>
      </c>
      <c r="N21" s="21" t="b">
        <v>1</v>
      </c>
      <c r="O21" s="25"/>
      <c r="P21" s="26"/>
      <c r="Q21" s="27"/>
      <c r="R21" s="27"/>
      <c r="S21" s="27"/>
      <c r="T21" s="27"/>
      <c r="U21" s="27"/>
      <c r="V21" s="27"/>
      <c r="W21" s="27"/>
      <c r="X21" s="27"/>
      <c r="Y21" s="27"/>
    </row>
    <row r="22" ht="31.5" customHeight="1">
      <c r="A22" s="31"/>
      <c r="B22" s="32"/>
      <c r="C22" s="33"/>
      <c r="D22" s="19"/>
      <c r="E22" s="20"/>
      <c r="F22" s="24"/>
      <c r="G22" s="20"/>
      <c r="H22" s="24"/>
      <c r="I22" s="22"/>
      <c r="J22" s="28"/>
      <c r="K22" s="22"/>
      <c r="L22" s="28"/>
      <c r="M22" s="22"/>
      <c r="N22" s="28"/>
      <c r="O22" s="25"/>
      <c r="P22" s="26"/>
      <c r="Q22" s="27"/>
      <c r="R22" s="27"/>
      <c r="S22" s="27"/>
      <c r="T22" s="27"/>
      <c r="U22" s="27"/>
      <c r="V22" s="27"/>
      <c r="W22" s="27"/>
      <c r="X22" s="27"/>
      <c r="Y22" s="27"/>
    </row>
    <row r="23" ht="31.5" customHeight="1">
      <c r="A23" s="31"/>
      <c r="B23" s="32"/>
      <c r="C23" s="33"/>
      <c r="D23" s="19"/>
      <c r="E23" s="20"/>
      <c r="F23" s="36"/>
      <c r="G23" s="20"/>
      <c r="H23" s="24"/>
      <c r="I23" s="22"/>
      <c r="J23" s="37"/>
      <c r="K23" s="22"/>
      <c r="L23" s="28"/>
      <c r="M23" s="22"/>
      <c r="N23" s="37"/>
      <c r="O23" s="25"/>
      <c r="P23" s="26"/>
      <c r="Q23" s="27"/>
      <c r="R23" s="27"/>
      <c r="S23" s="27"/>
      <c r="T23" s="27"/>
      <c r="U23" s="27"/>
      <c r="V23" s="27"/>
      <c r="W23" s="27"/>
      <c r="X23" s="27"/>
      <c r="Y23" s="27"/>
    </row>
    <row r="24" ht="31.5" customHeight="1">
      <c r="A24" s="38"/>
      <c r="B24" s="38"/>
      <c r="C24" s="39"/>
      <c r="D24" s="40"/>
      <c r="E24" s="39"/>
      <c r="F24" s="40"/>
      <c r="G24" s="39"/>
      <c r="H24" s="40"/>
      <c r="I24" s="39"/>
      <c r="J24" s="40"/>
      <c r="K24" s="39"/>
      <c r="L24" s="40"/>
      <c r="M24" s="58"/>
      <c r="N24" s="40"/>
      <c r="O24" s="39"/>
      <c r="P24" s="40"/>
      <c r="Q24" s="27"/>
      <c r="R24" s="27"/>
      <c r="S24" s="27"/>
      <c r="T24" s="27"/>
      <c r="U24" s="27"/>
      <c r="V24" s="27"/>
      <c r="W24" s="27"/>
      <c r="X24" s="27"/>
      <c r="Y24" s="27"/>
    </row>
    <row r="25" ht="40.5" customHeight="1">
      <c r="A25" s="38"/>
      <c r="B25" s="59"/>
      <c r="C25" s="39"/>
      <c r="D25" s="40"/>
      <c r="E25" s="39"/>
      <c r="F25" s="40"/>
      <c r="G25" s="39"/>
      <c r="H25" s="40"/>
      <c r="I25" s="39"/>
      <c r="J25" s="40"/>
      <c r="K25" s="39"/>
      <c r="L25" s="40"/>
      <c r="M25" s="39"/>
      <c r="N25" s="40"/>
      <c r="O25" s="39"/>
      <c r="P25" s="40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</row>
    <row r="33" ht="31.5" customHeight="1">
      <c r="A33" s="44"/>
      <c r="B33" s="44"/>
      <c r="C33" s="45"/>
      <c r="D33" s="46"/>
      <c r="E33" s="45"/>
      <c r="F33" s="46"/>
      <c r="G33" s="45"/>
      <c r="H33" s="46"/>
      <c r="I33" s="45"/>
      <c r="J33" s="46"/>
      <c r="K33" s="45"/>
      <c r="L33" s="46"/>
      <c r="M33" s="45"/>
      <c r="N33" s="46"/>
      <c r="O33" s="45"/>
      <c r="P33" s="46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</row>
    <row r="1001" ht="21.0" customHeight="1">
      <c r="A1001" s="27"/>
      <c r="B1001" s="27"/>
      <c r="C1001" s="27"/>
      <c r="D1001" s="42"/>
      <c r="E1001" s="27"/>
      <c r="F1001" s="43"/>
      <c r="G1001" s="27"/>
      <c r="H1001" s="43"/>
      <c r="I1001" s="27"/>
      <c r="J1001" s="43"/>
      <c r="K1001" s="27"/>
      <c r="L1001" s="43"/>
      <c r="M1001" s="27"/>
      <c r="N1001" s="43"/>
      <c r="O1001" s="27"/>
      <c r="P1001" s="43"/>
      <c r="Q1001" s="27"/>
      <c r="R1001" s="27"/>
      <c r="S1001" s="27"/>
      <c r="T1001" s="27"/>
      <c r="U1001" s="27"/>
      <c r="V1001" s="27"/>
      <c r="W1001" s="27"/>
      <c r="X1001" s="27"/>
      <c r="Y1001" s="27"/>
    </row>
    <row r="1002" ht="21.0" customHeight="1">
      <c r="A1002" s="27"/>
      <c r="B1002" s="27"/>
      <c r="C1002" s="27"/>
      <c r="D1002" s="42"/>
      <c r="E1002" s="27"/>
      <c r="F1002" s="43"/>
      <c r="G1002" s="27"/>
      <c r="H1002" s="43"/>
      <c r="I1002" s="27"/>
      <c r="J1002" s="43"/>
      <c r="K1002" s="27"/>
      <c r="L1002" s="43"/>
      <c r="M1002" s="27"/>
      <c r="N1002" s="43"/>
      <c r="O1002" s="27"/>
      <c r="P1002" s="43"/>
      <c r="Q1002" s="27"/>
      <c r="R1002" s="27"/>
      <c r="S1002" s="27"/>
      <c r="T1002" s="27"/>
      <c r="U1002" s="27"/>
      <c r="V1002" s="27"/>
      <c r="W1002" s="27"/>
      <c r="X1002" s="27"/>
      <c r="Y1002" s="27"/>
    </row>
    <row r="1003" ht="21.0" customHeight="1">
      <c r="A1003" s="27"/>
      <c r="B1003" s="27"/>
      <c r="C1003" s="27"/>
      <c r="D1003" s="42"/>
      <c r="E1003" s="27"/>
      <c r="F1003" s="43"/>
      <c r="G1003" s="27"/>
      <c r="H1003" s="43"/>
      <c r="I1003" s="27"/>
      <c r="J1003" s="43"/>
      <c r="K1003" s="27"/>
      <c r="L1003" s="43"/>
      <c r="M1003" s="27"/>
      <c r="N1003" s="43"/>
      <c r="O1003" s="27"/>
      <c r="P1003" s="43"/>
      <c r="Q1003" s="27"/>
      <c r="R1003" s="27"/>
      <c r="S1003" s="27"/>
      <c r="T1003" s="27"/>
      <c r="U1003" s="27"/>
      <c r="V1003" s="27"/>
      <c r="W1003" s="27"/>
      <c r="X1003" s="27"/>
      <c r="Y1003" s="27"/>
    </row>
    <row r="1004" ht="21.0" customHeight="1">
      <c r="A1004" s="27"/>
      <c r="B1004" s="27"/>
      <c r="C1004" s="27"/>
      <c r="D1004" s="42"/>
      <c r="E1004" s="27"/>
      <c r="F1004" s="43"/>
      <c r="G1004" s="27"/>
      <c r="H1004" s="43"/>
      <c r="I1004" s="27"/>
      <c r="J1004" s="43"/>
      <c r="K1004" s="27"/>
      <c r="L1004" s="43"/>
      <c r="M1004" s="27"/>
      <c r="N1004" s="43"/>
      <c r="O1004" s="27"/>
      <c r="P1004" s="43"/>
      <c r="Q1004" s="27"/>
      <c r="R1004" s="27"/>
      <c r="S1004" s="27"/>
      <c r="T1004" s="27"/>
      <c r="U1004" s="27"/>
      <c r="V1004" s="27"/>
      <c r="W1004" s="27"/>
      <c r="X1004" s="27"/>
      <c r="Y1004" s="27"/>
    </row>
    <row r="1005" ht="21.0" customHeight="1">
      <c r="A1005" s="27"/>
      <c r="B1005" s="27"/>
      <c r="C1005" s="27"/>
      <c r="D1005" s="42"/>
      <c r="E1005" s="27"/>
      <c r="F1005" s="43"/>
      <c r="G1005" s="27"/>
      <c r="H1005" s="43"/>
      <c r="I1005" s="27"/>
      <c r="J1005" s="43"/>
      <c r="K1005" s="27"/>
      <c r="L1005" s="43"/>
      <c r="M1005" s="27"/>
      <c r="N1005" s="43"/>
      <c r="O1005" s="27"/>
      <c r="P1005" s="43"/>
      <c r="Q1005" s="27"/>
      <c r="R1005" s="27"/>
      <c r="S1005" s="27"/>
      <c r="T1005" s="27"/>
      <c r="U1005" s="27"/>
      <c r="V1005" s="27"/>
      <c r="W1005" s="27"/>
      <c r="X1005" s="27"/>
      <c r="Y1005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11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33.5"/>
    <col customWidth="1" min="3" max="10" width="7.63"/>
    <col customWidth="1" min="11" max="11" width="10.38"/>
    <col customWidth="1" min="12" max="12" width="5.5"/>
    <col customWidth="1" min="13" max="13" width="10.38"/>
    <col customWidth="1" min="14" max="16" width="7.63"/>
    <col customWidth="1" min="17" max="17" width="1.63"/>
    <col customWidth="1" min="18" max="26" width="9.0"/>
  </cols>
  <sheetData>
    <row r="1" ht="123.0" customHeight="1">
      <c r="A1" s="4"/>
      <c r="B1" s="60"/>
      <c r="C1" s="61"/>
      <c r="D1" s="62"/>
      <c r="E1" s="63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57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64"/>
      <c r="C2" s="65" t="str">
        <f>TEXT(C3,"ddd")</f>
        <v>Sun.</v>
      </c>
      <c r="D2" s="66"/>
      <c r="E2" s="65" t="str">
        <f>TEXT(E3,"ddd")</f>
        <v>Mon.</v>
      </c>
      <c r="F2" s="66"/>
      <c r="G2" s="67" t="str">
        <f>TEXT(G3,"ddd")</f>
        <v>Tue.</v>
      </c>
      <c r="H2" s="68"/>
      <c r="I2" s="67" t="str">
        <f>TEXT(I3,"ddd")</f>
        <v>Wed.</v>
      </c>
      <c r="J2" s="68"/>
      <c r="K2" s="67" t="str">
        <f>TEXT(K3,"ddd")</f>
        <v>Thu.</v>
      </c>
      <c r="L2" s="68"/>
      <c r="M2" s="67" t="str">
        <f>TEXT(M3,"ddd")</f>
        <v>Fri.</v>
      </c>
      <c r="N2" s="68"/>
      <c r="O2" s="67" t="str">
        <f>TEXT(O3,"ddd")</f>
        <v>Sat.</v>
      </c>
      <c r="P2" s="68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64"/>
      <c r="C3" s="69">
        <v>44325.0</v>
      </c>
      <c r="D3" s="70"/>
      <c r="E3" s="71">
        <f>'Week 2'!First_Day+1</f>
        <v>44326</v>
      </c>
      <c r="F3" s="70"/>
      <c r="G3" s="72">
        <f>'Week 2'!First_Day+2</f>
        <v>44327</v>
      </c>
      <c r="H3" s="68"/>
      <c r="I3" s="72">
        <f>'Week 2'!First_Day+3</f>
        <v>44328</v>
      </c>
      <c r="J3" s="68"/>
      <c r="K3" s="72">
        <f>'Week 2'!First_Day+4</f>
        <v>44329</v>
      </c>
      <c r="L3" s="68"/>
      <c r="M3" s="72">
        <f>'Week 2'!First_Day+5</f>
        <v>44330</v>
      </c>
      <c r="N3" s="68"/>
      <c r="O3" s="72">
        <f>'Week 2'!First_Day+6</f>
        <v>44331</v>
      </c>
      <c r="P3" s="68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7"/>
      <c r="B4" s="73" t="s">
        <v>58</v>
      </c>
      <c r="C4" s="74" t="s">
        <v>59</v>
      </c>
      <c r="D4" s="75" t="s">
        <v>60</v>
      </c>
      <c r="E4" s="74" t="s">
        <v>59</v>
      </c>
      <c r="F4" s="75" t="s">
        <v>60</v>
      </c>
      <c r="G4" s="76" t="s">
        <v>59</v>
      </c>
      <c r="H4" s="77" t="s">
        <v>60</v>
      </c>
      <c r="I4" s="76" t="s">
        <v>59</v>
      </c>
      <c r="J4" s="77" t="s">
        <v>60</v>
      </c>
      <c r="K4" s="76" t="s">
        <v>59</v>
      </c>
      <c r="L4" s="77" t="s">
        <v>60</v>
      </c>
      <c r="M4" s="76" t="s">
        <v>59</v>
      </c>
      <c r="N4" s="77" t="s">
        <v>60</v>
      </c>
      <c r="O4" s="76" t="s">
        <v>59</v>
      </c>
      <c r="P4" s="77" t="s">
        <v>60</v>
      </c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21.0" customHeight="1">
      <c r="A5" s="27"/>
      <c r="B5" s="78" t="s">
        <v>61</v>
      </c>
      <c r="C5" s="79"/>
      <c r="D5" s="80"/>
      <c r="E5" s="79" t="s">
        <v>3</v>
      </c>
      <c r="F5" s="80">
        <v>1.0</v>
      </c>
      <c r="G5" s="79" t="s">
        <v>3</v>
      </c>
      <c r="H5" s="80">
        <v>1.0</v>
      </c>
      <c r="I5" s="81"/>
      <c r="J5" s="82"/>
      <c r="K5" s="81"/>
      <c r="L5" s="82"/>
      <c r="M5" s="83"/>
      <c r="N5" s="80"/>
      <c r="O5" s="83"/>
      <c r="P5" s="80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21.0" customHeight="1">
      <c r="A6" s="27"/>
      <c r="B6" s="78" t="s">
        <v>62</v>
      </c>
      <c r="C6" s="79"/>
      <c r="D6" s="80"/>
      <c r="E6" s="79" t="s">
        <v>3</v>
      </c>
      <c r="F6" s="80">
        <v>1.0</v>
      </c>
      <c r="G6" s="79" t="s">
        <v>3</v>
      </c>
      <c r="H6" s="80">
        <v>1.0</v>
      </c>
      <c r="I6" s="79"/>
      <c r="J6" s="84"/>
      <c r="K6" s="85"/>
      <c r="L6" s="84"/>
      <c r="M6" s="83"/>
      <c r="N6" s="80"/>
      <c r="O6" s="83"/>
      <c r="P6" s="80"/>
      <c r="Q6" s="27"/>
      <c r="R6" s="27"/>
      <c r="S6" s="27"/>
      <c r="T6" s="27"/>
      <c r="U6" s="27"/>
      <c r="V6" s="27"/>
      <c r="W6" s="27"/>
      <c r="X6" s="27"/>
      <c r="Y6" s="27"/>
      <c r="Z6" s="27"/>
    </row>
    <row r="7">
      <c r="A7" s="27"/>
      <c r="B7" s="78" t="s">
        <v>63</v>
      </c>
      <c r="C7" s="83"/>
      <c r="D7" s="80"/>
      <c r="E7" s="86"/>
      <c r="F7" s="87"/>
      <c r="G7" s="79"/>
      <c r="H7" s="87"/>
      <c r="I7" s="79" t="s">
        <v>3</v>
      </c>
      <c r="J7" s="80">
        <v>1.0</v>
      </c>
      <c r="K7" s="88"/>
      <c r="L7" s="87"/>
      <c r="M7" s="83"/>
      <c r="N7" s="80"/>
      <c r="O7" s="83"/>
      <c r="P7" s="80"/>
      <c r="Q7" s="27"/>
      <c r="R7" s="27"/>
      <c r="S7" s="27"/>
      <c r="T7" s="27"/>
      <c r="U7" s="27"/>
      <c r="V7" s="27"/>
      <c r="W7" s="27"/>
      <c r="X7" s="27"/>
      <c r="Y7" s="27"/>
      <c r="Z7" s="27"/>
    </row>
    <row r="8">
      <c r="A8" s="27"/>
      <c r="B8" s="78" t="s">
        <v>64</v>
      </c>
      <c r="C8" s="83"/>
      <c r="D8" s="80"/>
      <c r="E8" s="89"/>
      <c r="F8" s="84"/>
      <c r="G8" s="90"/>
      <c r="H8" s="84"/>
      <c r="I8" s="91" t="s">
        <v>65</v>
      </c>
      <c r="J8" s="80">
        <v>1.0</v>
      </c>
      <c r="K8" s="91" t="s">
        <v>65</v>
      </c>
      <c r="L8" s="80">
        <v>1.0</v>
      </c>
      <c r="M8" s="91" t="s">
        <v>65</v>
      </c>
      <c r="N8" s="80">
        <v>1.0</v>
      </c>
      <c r="O8" s="83"/>
      <c r="P8" s="80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21.0" customHeight="1">
      <c r="A9" s="27"/>
      <c r="B9" s="78" t="s">
        <v>66</v>
      </c>
      <c r="C9" s="83"/>
      <c r="D9" s="80"/>
      <c r="E9" s="92"/>
      <c r="F9" s="87"/>
      <c r="G9" s="93"/>
      <c r="H9" s="87"/>
      <c r="I9" s="91" t="s">
        <v>67</v>
      </c>
      <c r="J9" s="80">
        <v>1.0</v>
      </c>
      <c r="K9" s="91"/>
      <c r="L9" s="87"/>
      <c r="M9" s="79"/>
      <c r="N9" s="80"/>
      <c r="O9" s="83"/>
      <c r="P9" s="80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>
      <c r="A10" s="27"/>
      <c r="B10" s="78" t="s">
        <v>68</v>
      </c>
      <c r="C10" s="83"/>
      <c r="D10" s="80"/>
      <c r="E10" s="89"/>
      <c r="F10" s="84"/>
      <c r="G10" s="90"/>
      <c r="H10" s="84"/>
      <c r="I10" s="79"/>
      <c r="J10" s="84"/>
      <c r="K10" s="91" t="s">
        <v>69</v>
      </c>
      <c r="L10" s="84"/>
      <c r="M10" s="91" t="s">
        <v>69</v>
      </c>
      <c r="N10" s="80"/>
      <c r="O10" s="83"/>
      <c r="P10" s="80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21.0" customHeight="1">
      <c r="A11" s="27"/>
      <c r="B11" s="78" t="s">
        <v>70</v>
      </c>
      <c r="C11" s="83"/>
      <c r="D11" s="80"/>
      <c r="E11" s="92"/>
      <c r="F11" s="87"/>
      <c r="G11" s="88"/>
      <c r="H11" s="87"/>
      <c r="I11" s="88"/>
      <c r="J11" s="87"/>
      <c r="K11" s="91" t="s">
        <v>12</v>
      </c>
      <c r="L11" s="80">
        <v>1.0</v>
      </c>
      <c r="M11" s="79"/>
      <c r="N11" s="80"/>
      <c r="O11" s="83"/>
      <c r="P11" s="80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21.0" customHeight="1">
      <c r="A12" s="27"/>
      <c r="B12" s="78" t="s">
        <v>71</v>
      </c>
      <c r="C12" s="83"/>
      <c r="D12" s="80"/>
      <c r="E12" s="89"/>
      <c r="F12" s="84"/>
      <c r="G12" s="85"/>
      <c r="H12" s="84"/>
      <c r="I12" s="83" t="s">
        <v>8</v>
      </c>
      <c r="J12" s="84"/>
      <c r="K12" s="91" t="s">
        <v>8</v>
      </c>
      <c r="L12" s="84"/>
      <c r="M12" s="79" t="s">
        <v>8</v>
      </c>
      <c r="N12" s="80">
        <v>1.0</v>
      </c>
      <c r="O12" s="83"/>
      <c r="P12" s="80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>
      <c r="A13" s="27"/>
      <c r="B13" s="78" t="s">
        <v>72</v>
      </c>
      <c r="C13" s="83"/>
      <c r="D13" s="80"/>
      <c r="E13" s="83"/>
      <c r="F13" s="80"/>
      <c r="G13" s="83"/>
      <c r="H13" s="80"/>
      <c r="I13" s="79" t="s">
        <v>22</v>
      </c>
      <c r="J13" s="80">
        <v>1.0</v>
      </c>
      <c r="K13" s="79"/>
      <c r="L13" s="80"/>
      <c r="M13" s="79"/>
      <c r="N13" s="80"/>
      <c r="O13" s="83"/>
      <c r="P13" s="80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21.0" customHeight="1">
      <c r="A14" s="27"/>
      <c r="B14" s="78" t="s">
        <v>73</v>
      </c>
      <c r="C14" s="83"/>
      <c r="D14" s="80"/>
      <c r="E14" s="79"/>
      <c r="F14" s="80"/>
      <c r="G14" s="79"/>
      <c r="H14" s="80"/>
      <c r="I14" s="79" t="s">
        <v>3</v>
      </c>
      <c r="J14" s="80">
        <v>1.0</v>
      </c>
      <c r="K14" s="79"/>
      <c r="L14" s="80"/>
      <c r="M14" s="79"/>
      <c r="N14" s="80"/>
      <c r="O14" s="83"/>
      <c r="P14" s="80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21.0" customHeight="1">
      <c r="A15" s="27"/>
      <c r="B15" s="78" t="s">
        <v>74</v>
      </c>
      <c r="C15" s="83"/>
      <c r="D15" s="80"/>
      <c r="E15" s="83"/>
      <c r="F15" s="80"/>
      <c r="G15" s="83"/>
      <c r="H15" s="80"/>
      <c r="I15" s="83"/>
      <c r="J15" s="80"/>
      <c r="K15" s="83"/>
      <c r="L15" s="80"/>
      <c r="M15" s="79" t="s">
        <v>3</v>
      </c>
      <c r="N15" s="80"/>
      <c r="O15" s="83"/>
      <c r="P15" s="80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21.0" customHeight="1">
      <c r="A16" s="27"/>
      <c r="B16" s="78" t="s">
        <v>75</v>
      </c>
      <c r="C16" s="83"/>
      <c r="D16" s="80"/>
      <c r="E16" s="83"/>
      <c r="F16" s="80"/>
      <c r="G16" s="83"/>
      <c r="H16" s="80"/>
      <c r="I16" s="83"/>
      <c r="J16" s="80"/>
      <c r="K16" s="83"/>
      <c r="L16" s="80"/>
      <c r="M16" s="79" t="s">
        <v>12</v>
      </c>
      <c r="N16" s="80"/>
      <c r="O16" s="83"/>
      <c r="P16" s="80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21.0" customHeight="1">
      <c r="A17" s="27"/>
      <c r="B17" s="94"/>
      <c r="C17" s="83"/>
      <c r="D17" s="80"/>
      <c r="E17" s="83"/>
      <c r="F17" s="80"/>
      <c r="G17" s="83"/>
      <c r="H17" s="80"/>
      <c r="I17" s="83"/>
      <c r="J17" s="80"/>
      <c r="K17" s="83"/>
      <c r="L17" s="80"/>
      <c r="M17" s="83"/>
      <c r="N17" s="80"/>
      <c r="O17" s="83"/>
      <c r="P17" s="80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21.0" customHeight="1">
      <c r="A18" s="27"/>
      <c r="B18" s="94"/>
      <c r="C18" s="83"/>
      <c r="D18" s="80"/>
      <c r="E18" s="83"/>
      <c r="F18" s="80"/>
      <c r="G18" s="83"/>
      <c r="H18" s="80"/>
      <c r="I18" s="83"/>
      <c r="J18" s="80"/>
      <c r="K18" s="83"/>
      <c r="L18" s="80"/>
      <c r="M18" s="83"/>
      <c r="N18" s="80"/>
      <c r="O18" s="83"/>
      <c r="P18" s="80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21.0" customHeight="1">
      <c r="A19" s="27"/>
      <c r="B19" s="94"/>
      <c r="C19" s="83"/>
      <c r="D19" s="80"/>
      <c r="E19" s="83"/>
      <c r="F19" s="80"/>
      <c r="G19" s="83"/>
      <c r="H19" s="80"/>
      <c r="I19" s="83"/>
      <c r="J19" s="80"/>
      <c r="K19" s="83"/>
      <c r="L19" s="80"/>
      <c r="M19" s="83"/>
      <c r="N19" s="80"/>
      <c r="O19" s="83"/>
      <c r="P19" s="80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21.0" customHeight="1">
      <c r="A20" s="27"/>
      <c r="B20" s="94"/>
      <c r="C20" s="83"/>
      <c r="D20" s="80"/>
      <c r="E20" s="83"/>
      <c r="F20" s="80"/>
      <c r="G20" s="83"/>
      <c r="H20" s="80"/>
      <c r="I20" s="83"/>
      <c r="J20" s="80"/>
      <c r="K20" s="83"/>
      <c r="L20" s="80"/>
      <c r="M20" s="83"/>
      <c r="N20" s="80"/>
      <c r="O20" s="83"/>
      <c r="P20" s="80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21.0" customHeight="1">
      <c r="A21" s="27"/>
      <c r="B21" s="95"/>
      <c r="C21" s="96"/>
      <c r="D21" s="97"/>
      <c r="E21" s="96"/>
      <c r="F21" s="97"/>
      <c r="G21" s="96"/>
      <c r="H21" s="97"/>
      <c r="I21" s="96"/>
      <c r="J21" s="97"/>
      <c r="K21" s="96"/>
      <c r="L21" s="97"/>
      <c r="M21" s="96"/>
      <c r="N21" s="97"/>
      <c r="O21" s="96"/>
      <c r="P21" s="9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21.0" customHeight="1">
      <c r="A22" s="27"/>
      <c r="B22" s="27"/>
      <c r="C22" s="27"/>
      <c r="D22" s="42"/>
      <c r="E22" s="27"/>
      <c r="F22" s="43"/>
      <c r="G22" s="27"/>
      <c r="H22" s="43"/>
      <c r="I22" s="27"/>
      <c r="J22" s="43"/>
      <c r="K22" s="27"/>
      <c r="L22" s="43"/>
      <c r="M22" s="27"/>
      <c r="N22" s="43"/>
      <c r="O22" s="27"/>
      <c r="P22" s="43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21.0" customHeight="1">
      <c r="A23" s="27"/>
      <c r="B23" s="27"/>
      <c r="C23" s="27"/>
      <c r="D23" s="42"/>
      <c r="E23" s="27"/>
      <c r="F23" s="43"/>
      <c r="G23" s="27"/>
      <c r="H23" s="43"/>
      <c r="I23" s="27"/>
      <c r="J23" s="43"/>
      <c r="K23" s="27"/>
      <c r="L23" s="43"/>
      <c r="M23" s="27"/>
      <c r="N23" s="43"/>
      <c r="O23" s="27"/>
      <c r="P23" s="43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21.0" customHeight="1">
      <c r="A24" s="27"/>
      <c r="B24" s="27"/>
      <c r="C24" s="27"/>
      <c r="D24" s="42"/>
      <c r="E24" s="27"/>
      <c r="F24" s="43"/>
      <c r="G24" s="27"/>
      <c r="H24" s="43"/>
      <c r="I24" s="27"/>
      <c r="J24" s="43"/>
      <c r="K24" s="27"/>
      <c r="L24" s="43"/>
      <c r="M24" s="27"/>
      <c r="N24" s="43"/>
      <c r="O24" s="27"/>
      <c r="P24" s="43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29.0"/>
    <col customWidth="1" min="3" max="16" width="7.63"/>
    <col customWidth="1" min="17" max="17" width="1.63"/>
    <col customWidth="1" min="18" max="26" width="9.0"/>
  </cols>
  <sheetData>
    <row r="1" ht="123.0" customHeight="1">
      <c r="A1" s="4"/>
      <c r="B1" s="60"/>
      <c r="C1" s="61"/>
      <c r="D1" s="62"/>
      <c r="E1" s="63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57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98"/>
      <c r="C2" s="65" t="str">
        <f>TEXT(C3,"ddd")</f>
        <v>Sun.</v>
      </c>
      <c r="D2" s="99"/>
      <c r="E2" s="65" t="str">
        <f>TEXT(E3,"ddd")</f>
        <v>Mon.</v>
      </c>
      <c r="G2" s="67" t="str">
        <f>TEXT(G3,"ddd")</f>
        <v>Tue.</v>
      </c>
      <c r="H2" s="68"/>
      <c r="I2" s="67" t="str">
        <f>TEXT(I3,"ddd")</f>
        <v>Wed.</v>
      </c>
      <c r="J2" s="68"/>
      <c r="K2" s="67" t="str">
        <f>TEXT(K3,"ddd")</f>
        <v>Thu.</v>
      </c>
      <c r="L2" s="68"/>
      <c r="M2" s="67" t="str">
        <f>TEXT(M3,"ddd")</f>
        <v>Fri.</v>
      </c>
      <c r="N2" s="68"/>
      <c r="O2" s="67" t="str">
        <f>TEXT(O3,"ddd")</f>
        <v>Sat.</v>
      </c>
      <c r="P2" s="68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64"/>
      <c r="C3" s="69">
        <v>44318.0</v>
      </c>
      <c r="D3" s="100"/>
      <c r="E3" s="71">
        <f>First_Day+1</f>
        <v>44319</v>
      </c>
      <c r="F3" s="101"/>
      <c r="G3" s="72">
        <f>First_Day+2</f>
        <v>44320</v>
      </c>
      <c r="H3" s="68"/>
      <c r="I3" s="72">
        <f>First_Day+3</f>
        <v>44321</v>
      </c>
      <c r="J3" s="68"/>
      <c r="K3" s="72">
        <f>First_Day+4</f>
        <v>44322</v>
      </c>
      <c r="L3" s="68"/>
      <c r="M3" s="72">
        <f>First_Day+5</f>
        <v>44323</v>
      </c>
      <c r="N3" s="68"/>
      <c r="O3" s="72">
        <f>First_Day+6</f>
        <v>44324</v>
      </c>
      <c r="P3" s="68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7"/>
      <c r="B4" s="73" t="s">
        <v>58</v>
      </c>
      <c r="C4" s="74" t="s">
        <v>59</v>
      </c>
      <c r="D4" s="75" t="s">
        <v>60</v>
      </c>
      <c r="E4" s="74" t="s">
        <v>59</v>
      </c>
      <c r="F4" s="75" t="s">
        <v>60</v>
      </c>
      <c r="G4" s="76" t="s">
        <v>59</v>
      </c>
      <c r="H4" s="77" t="s">
        <v>60</v>
      </c>
      <c r="I4" s="76" t="s">
        <v>59</v>
      </c>
      <c r="J4" s="77" t="s">
        <v>60</v>
      </c>
      <c r="K4" s="76" t="s">
        <v>59</v>
      </c>
      <c r="L4" s="77" t="s">
        <v>60</v>
      </c>
      <c r="M4" s="76" t="s">
        <v>59</v>
      </c>
      <c r="N4" s="77" t="s">
        <v>60</v>
      </c>
      <c r="O4" s="76" t="s">
        <v>59</v>
      </c>
      <c r="P4" s="77" t="s">
        <v>60</v>
      </c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21.0" customHeight="1">
      <c r="A5" s="27"/>
      <c r="B5" s="78" t="s">
        <v>76</v>
      </c>
      <c r="C5" s="79"/>
      <c r="D5" s="80"/>
      <c r="E5" s="79" t="s">
        <v>3</v>
      </c>
      <c r="F5" s="80">
        <v>1.0</v>
      </c>
      <c r="G5" s="83"/>
      <c r="H5" s="80"/>
      <c r="I5" s="83"/>
      <c r="J5" s="80"/>
      <c r="K5" s="83"/>
      <c r="L5" s="80"/>
      <c r="M5" s="79" t="s">
        <v>3</v>
      </c>
      <c r="N5" s="80">
        <v>1.0</v>
      </c>
      <c r="O5" s="83"/>
      <c r="P5" s="80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21.0" customHeight="1">
      <c r="A6" s="27"/>
      <c r="B6" s="78" t="s">
        <v>77</v>
      </c>
      <c r="C6" s="79"/>
      <c r="D6" s="80"/>
      <c r="E6" s="79" t="s">
        <v>3</v>
      </c>
      <c r="F6" s="80"/>
      <c r="G6" s="79" t="s">
        <v>3</v>
      </c>
      <c r="H6" s="80"/>
      <c r="I6" s="79" t="s">
        <v>3</v>
      </c>
      <c r="J6" s="80"/>
      <c r="K6" s="79" t="s">
        <v>3</v>
      </c>
      <c r="L6" s="80"/>
      <c r="M6" s="79" t="s">
        <v>3</v>
      </c>
      <c r="N6" s="80"/>
      <c r="O6" s="79" t="s">
        <v>3</v>
      </c>
      <c r="P6" s="80">
        <v>1.0</v>
      </c>
      <c r="Q6" s="27"/>
      <c r="R6" s="27"/>
      <c r="S6" s="27"/>
      <c r="T6" s="27"/>
      <c r="U6" s="27"/>
      <c r="V6" s="27"/>
      <c r="W6" s="27"/>
      <c r="X6" s="27"/>
      <c r="Y6" s="27"/>
      <c r="Z6" s="27"/>
    </row>
    <row r="7" ht="21.0" customHeight="1">
      <c r="A7" s="27"/>
      <c r="B7" s="78" t="s">
        <v>78</v>
      </c>
      <c r="C7" s="79"/>
      <c r="D7" s="80"/>
      <c r="E7" s="83"/>
      <c r="F7" s="80"/>
      <c r="G7" s="83"/>
      <c r="H7" s="80"/>
      <c r="I7" s="79" t="s">
        <v>3</v>
      </c>
      <c r="J7" s="80">
        <v>1.0</v>
      </c>
      <c r="K7" s="83"/>
      <c r="L7" s="80"/>
      <c r="M7" s="79" t="s">
        <v>3</v>
      </c>
      <c r="N7" s="80">
        <v>1.0</v>
      </c>
      <c r="O7" s="83"/>
      <c r="P7" s="80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ht="21.0" customHeight="1">
      <c r="A8" s="27"/>
      <c r="B8" s="78" t="s">
        <v>79</v>
      </c>
      <c r="C8" s="79"/>
      <c r="D8" s="80"/>
      <c r="E8" s="83"/>
      <c r="F8" s="80"/>
      <c r="G8" s="83"/>
      <c r="H8" s="80"/>
      <c r="I8" s="83"/>
      <c r="J8" s="80"/>
      <c r="K8" s="83"/>
      <c r="L8" s="80"/>
      <c r="M8" s="83"/>
      <c r="N8" s="80"/>
      <c r="O8" s="83"/>
      <c r="P8" s="80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21.0" customHeight="1">
      <c r="A9" s="27"/>
      <c r="B9" s="78" t="s">
        <v>80</v>
      </c>
      <c r="C9" s="79"/>
      <c r="D9" s="80"/>
      <c r="E9" s="83"/>
      <c r="F9" s="80"/>
      <c r="G9" s="83"/>
      <c r="H9" s="80"/>
      <c r="I9" s="83"/>
      <c r="J9" s="80"/>
      <c r="K9" s="79" t="s">
        <v>3</v>
      </c>
      <c r="L9" s="80">
        <v>1.0</v>
      </c>
      <c r="M9" s="83"/>
      <c r="N9" s="80"/>
      <c r="O9" s="83"/>
      <c r="P9" s="80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ht="31.5" customHeight="1">
      <c r="A10" s="27"/>
      <c r="B10" s="78" t="s">
        <v>81</v>
      </c>
      <c r="C10" s="83"/>
      <c r="D10" s="80"/>
      <c r="E10" s="83"/>
      <c r="F10" s="80"/>
      <c r="G10" s="83"/>
      <c r="H10" s="80"/>
      <c r="I10" s="83"/>
      <c r="J10" s="80"/>
      <c r="K10" s="83"/>
      <c r="L10" s="80"/>
      <c r="M10" s="79" t="s">
        <v>82</v>
      </c>
      <c r="N10" s="80">
        <v>1.0</v>
      </c>
      <c r="O10" s="79" t="s">
        <v>82</v>
      </c>
      <c r="P10" s="80">
        <v>1.0</v>
      </c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33.0" customHeight="1">
      <c r="A11" s="27"/>
      <c r="B11" s="78" t="s">
        <v>83</v>
      </c>
      <c r="C11" s="83"/>
      <c r="D11" s="80"/>
      <c r="E11" s="83"/>
      <c r="F11" s="80"/>
      <c r="G11" s="79" t="s">
        <v>10</v>
      </c>
      <c r="H11" s="80"/>
      <c r="I11" s="83"/>
      <c r="J11" s="80"/>
      <c r="K11" s="79" t="s">
        <v>22</v>
      </c>
      <c r="L11" s="80">
        <v>1.0</v>
      </c>
      <c r="M11" s="83"/>
      <c r="N11" s="80"/>
      <c r="O11" s="83"/>
      <c r="P11" s="80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21.0" customHeight="1">
      <c r="A12" s="27"/>
      <c r="B12" s="78"/>
      <c r="C12" s="83"/>
      <c r="D12" s="80"/>
      <c r="E12" s="83"/>
      <c r="F12" s="80"/>
      <c r="G12" s="83"/>
      <c r="H12" s="80"/>
      <c r="I12" s="83"/>
      <c r="J12" s="80"/>
      <c r="K12" s="83"/>
      <c r="L12" s="80"/>
      <c r="M12" s="83"/>
      <c r="N12" s="80"/>
      <c r="O12" s="83"/>
      <c r="P12" s="80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ht="21.0" customHeight="1">
      <c r="A13" s="27"/>
      <c r="B13" s="94"/>
      <c r="C13" s="83"/>
      <c r="D13" s="80"/>
      <c r="E13" s="83"/>
      <c r="F13" s="80"/>
      <c r="G13" s="83"/>
      <c r="H13" s="80"/>
      <c r="I13" s="83"/>
      <c r="J13" s="80"/>
      <c r="K13" s="83"/>
      <c r="L13" s="80"/>
      <c r="M13" s="83"/>
      <c r="N13" s="80"/>
      <c r="O13" s="83"/>
      <c r="P13" s="80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21.0" customHeight="1">
      <c r="A14" s="27"/>
      <c r="B14" s="94"/>
      <c r="C14" s="83"/>
      <c r="D14" s="80"/>
      <c r="E14" s="83"/>
      <c r="F14" s="80"/>
      <c r="G14" s="83"/>
      <c r="H14" s="80"/>
      <c r="I14" s="83"/>
      <c r="J14" s="80"/>
      <c r="K14" s="83"/>
      <c r="L14" s="80"/>
      <c r="M14" s="83"/>
      <c r="N14" s="80"/>
      <c r="O14" s="83"/>
      <c r="P14" s="80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21.0" customHeight="1">
      <c r="A15" s="27"/>
      <c r="B15" s="94"/>
      <c r="C15" s="83"/>
      <c r="D15" s="80"/>
      <c r="E15" s="83"/>
      <c r="F15" s="80"/>
      <c r="G15" s="83"/>
      <c r="H15" s="80"/>
      <c r="I15" s="83"/>
      <c r="J15" s="80"/>
      <c r="K15" s="83"/>
      <c r="L15" s="80"/>
      <c r="M15" s="83"/>
      <c r="N15" s="80"/>
      <c r="O15" s="83"/>
      <c r="P15" s="80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21.0" customHeight="1">
      <c r="A16" s="27"/>
      <c r="B16" s="94"/>
      <c r="C16" s="83"/>
      <c r="D16" s="80"/>
      <c r="E16" s="83"/>
      <c r="F16" s="80"/>
      <c r="G16" s="83"/>
      <c r="H16" s="80"/>
      <c r="I16" s="83"/>
      <c r="J16" s="80"/>
      <c r="K16" s="83"/>
      <c r="L16" s="80"/>
      <c r="M16" s="83"/>
      <c r="N16" s="80"/>
      <c r="O16" s="83"/>
      <c r="P16" s="80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21.0" customHeight="1">
      <c r="A17" s="27"/>
      <c r="B17" s="94"/>
      <c r="C17" s="83"/>
      <c r="D17" s="80"/>
      <c r="E17" s="83"/>
      <c r="F17" s="80"/>
      <c r="G17" s="83"/>
      <c r="H17" s="80"/>
      <c r="I17" s="83"/>
      <c r="J17" s="80"/>
      <c r="K17" s="83"/>
      <c r="L17" s="80"/>
      <c r="M17" s="83"/>
      <c r="N17" s="80"/>
      <c r="O17" s="83"/>
      <c r="P17" s="80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21.0" customHeight="1">
      <c r="A18" s="27"/>
      <c r="B18" s="94"/>
      <c r="C18" s="83"/>
      <c r="D18" s="80"/>
      <c r="E18" s="83"/>
      <c r="F18" s="80"/>
      <c r="G18" s="83"/>
      <c r="H18" s="80"/>
      <c r="I18" s="83"/>
      <c r="J18" s="80"/>
      <c r="K18" s="83"/>
      <c r="L18" s="80"/>
      <c r="M18" s="83"/>
      <c r="N18" s="80"/>
      <c r="O18" s="83"/>
      <c r="P18" s="80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21.0" customHeight="1">
      <c r="A19" s="27"/>
      <c r="B19" s="94"/>
      <c r="C19" s="83"/>
      <c r="D19" s="80"/>
      <c r="E19" s="83"/>
      <c r="F19" s="80"/>
      <c r="G19" s="83"/>
      <c r="H19" s="80"/>
      <c r="I19" s="83"/>
      <c r="J19" s="80"/>
      <c r="K19" s="83"/>
      <c r="L19" s="80"/>
      <c r="M19" s="83"/>
      <c r="N19" s="80"/>
      <c r="O19" s="83"/>
      <c r="P19" s="80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21.0" customHeight="1">
      <c r="A20" s="27"/>
      <c r="B20" s="95"/>
      <c r="C20" s="96"/>
      <c r="D20" s="97"/>
      <c r="E20" s="96"/>
      <c r="F20" s="97"/>
      <c r="G20" s="96"/>
      <c r="H20" s="97"/>
      <c r="I20" s="96"/>
      <c r="J20" s="97"/>
      <c r="K20" s="96"/>
      <c r="L20" s="97"/>
      <c r="M20" s="96"/>
      <c r="N20" s="97"/>
      <c r="O20" s="96"/>
      <c r="P20" s="9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21.0" customHeight="1">
      <c r="A21" s="27"/>
      <c r="B21" s="27"/>
      <c r="C21" s="27"/>
      <c r="D21" s="42"/>
      <c r="E21" s="27"/>
      <c r="F21" s="43"/>
      <c r="G21" s="27"/>
      <c r="H21" s="43"/>
      <c r="I21" s="27"/>
      <c r="J21" s="43"/>
      <c r="K21" s="27"/>
      <c r="L21" s="43"/>
      <c r="M21" s="27"/>
      <c r="N21" s="43"/>
      <c r="O21" s="27"/>
      <c r="P21" s="43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21.0" customHeight="1">
      <c r="A22" s="27"/>
      <c r="B22" s="27"/>
      <c r="C22" s="27"/>
      <c r="D22" s="42"/>
      <c r="E22" s="27"/>
      <c r="F22" s="43"/>
      <c r="G22" s="27"/>
      <c r="H22" s="43"/>
      <c r="I22" s="27"/>
      <c r="J22" s="43"/>
      <c r="K22" s="27"/>
      <c r="L22" s="43"/>
      <c r="M22" s="27"/>
      <c r="N22" s="43"/>
      <c r="O22" s="27"/>
      <c r="P22" s="43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21.0" customHeight="1">
      <c r="A23" s="27"/>
      <c r="B23" s="27"/>
      <c r="C23" s="27"/>
      <c r="D23" s="42"/>
      <c r="E23" s="27"/>
      <c r="F23" s="43"/>
      <c r="G23" s="27"/>
      <c r="H23" s="43"/>
      <c r="I23" s="27"/>
      <c r="J23" s="43"/>
      <c r="K23" s="27"/>
      <c r="L23" s="43"/>
      <c r="M23" s="27"/>
      <c r="N23" s="43"/>
      <c r="O23" s="27"/>
      <c r="P23" s="43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21.0" customHeight="1">
      <c r="A24" s="27"/>
      <c r="B24" s="27"/>
      <c r="C24" s="27"/>
      <c r="D24" s="42"/>
      <c r="E24" s="27"/>
      <c r="F24" s="43"/>
      <c r="G24" s="27"/>
      <c r="H24" s="43"/>
      <c r="I24" s="27"/>
      <c r="J24" s="43"/>
      <c r="K24" s="27"/>
      <c r="L24" s="43"/>
      <c r="M24" s="27"/>
      <c r="N24" s="43"/>
      <c r="O24" s="27"/>
      <c r="P24" s="43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2018-08-08T03:39:18Z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